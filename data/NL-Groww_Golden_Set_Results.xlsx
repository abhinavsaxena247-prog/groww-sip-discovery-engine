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tems" sheetId="2" state="visible" r:id="rId4"/>
    <sheet name="Disagreements" sheetId="3" state="visible" r:id="rId5"/>
    <sheet name="Robustnes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<sst xmlns="http://schemas.openxmlformats.org/spreadsheetml/2006/main" count="524" uniqueCount="202">
  <si>
    <t xml:space="preserve">NL-Groww golden set: hand labels vs AI tags (first pass)</t>
  </si>
  <si>
    <t xml:space="preserve">27 comments sampled across themes, sources, languages and guardrail cases. GS01-GS02 were walked through with Claude as practice items and are excluded from scoring. Labelled by the project owner on 31 Oct 2026 without seeing the AI tags. AI tags: Gemini Lite, prompt v1.2.</t>
  </si>
  <si>
    <t xml:space="preserve">Measure</t>
  </si>
  <si>
    <t xml:space="preserve">Matches</t>
  </si>
  <si>
    <t xml:space="preserve">Items scored</t>
  </si>
  <si>
    <t xml:space="preserve">Agreement</t>
  </si>
  <si>
    <t xml:space="preserve">Relevant?</t>
  </si>
  <si>
    <t xml:space="preserve">Main event</t>
  </si>
  <si>
    <t xml:space="preserve">Drop-off type</t>
  </si>
  <si>
    <t xml:space="preserve">Main reason</t>
  </si>
  <si>
    <t xml:space="preserve">Overall (all 4 fields)</t>
  </si>
  <si>
    <t xml:space="preserve">AI guardrail violations on these 27 (fund names or advice in the AI's own fields)</t>
  </si>
  <si>
    <t xml:space="preserve">Rules: event and reason count as a match if the labeller's choice is among the AI's tags (the AI can tag several).</t>
  </si>
  <si>
    <t xml:space="preserve">What the disagreements show</t>
  </si>
  <si>
    <t xml:space="preserve">All relevance disagreements are AI = relevant, labeller = not relevant. Most are forum replies, staff answers, regulatory questions and general opinions (TradingQnA, Zerodha Varsity): the AI's relevance filter is too generous for forum text.</t>
  </si>
  <si>
    <t xml:space="preserve">A few relevance 'No' labels (GS22, GS23, GS26) are first-person questions or needs that the codebook counts as relevant: definition-boundary cases, listed as review candidates.</t>
  </si>
  <si>
    <t xml:space="preserve">Event and reason gaps are mostly cases where two readings fit (skipped vs payment failed; intention to withdraw vs withdrew) or the AI tagged secondary reasons the labeller left out.</t>
  </si>
  <si>
    <t xml:space="preserve">Robustness check (see sheet): removing forum sources leaves the headline findings unchanged, so the looser relevance filter inflates volume, not the conclusions.</t>
  </si>
  <si>
    <t xml:space="preserve">ID</t>
  </si>
  <si>
    <t xml:space="preserve">Practice item?</t>
  </si>
  <si>
    <t xml:space="preserve">Stratum</t>
  </si>
  <si>
    <t xml:space="preserve">Source</t>
  </si>
  <si>
    <t xml:space="preserve">Comment</t>
  </si>
  <si>
    <t xml:space="preserve">Labeller: relevant</t>
  </si>
  <si>
    <t xml:space="preserve">Labeller: event</t>
  </si>
  <si>
    <t xml:space="preserve">Labeller: drop-off</t>
  </si>
  <si>
    <t xml:space="preserve">Labeller: reason</t>
  </si>
  <si>
    <t xml:space="preserve">Labeller note</t>
  </si>
  <si>
    <t xml:space="preserve">AI: relevant</t>
  </si>
  <si>
    <t xml:space="preserve">AI: events (all)</t>
  </si>
  <si>
    <t xml:space="preserve">AI: drop-off</t>
  </si>
  <si>
    <t xml:space="preserve">AI: reasons (all)</t>
  </si>
  <si>
    <t xml:space="preserve">Relevant match</t>
  </si>
  <si>
    <t xml:space="preserve">Event match</t>
  </si>
  <si>
    <t xml:space="preserve">Drop-off match</t>
  </si>
  <si>
    <t xml:space="preserve">Reason match</t>
  </si>
  <si>
    <t xml:space="preserve">AI guardrail check</t>
  </si>
  <si>
    <t xml:space="preserve">GS01</t>
  </si>
  <si>
    <t xml:space="preserve">Yes</t>
  </si>
  <si>
    <t xml:space="preserve">not relevant (AI)</t>
  </si>
  <si>
    <t xml:space="preserve">app store</t>
  </si>
  <si>
    <t xml:space="preserve">External Mutual Funds. App is excellent, but from last2 months the external Mutual Funds are not getting updated</t>
  </si>
  <si>
    <t xml:space="preserve">yes</t>
  </si>
  <si>
    <t xml:space="preserve">checked_tracked</t>
  </si>
  <si>
    <t xml:space="preserve">none</t>
  </si>
  <si>
    <t xml:space="preserve">app_friction_or_bug</t>
  </si>
  <si>
    <t xml:space="preserve">no</t>
  </si>
  <si>
    <t xml:space="preserve">|none|</t>
  </si>
  <si>
    <t xml:space="preserve">pass</t>
  </si>
  <si>
    <t xml:space="preserve">GS02</t>
  </si>
  <si>
    <t xml:space="preserve">play store</t>
  </si>
  <si>
    <t xml:space="preserve">My very first experience is worst experience, below is the reason. I bid for "Indian Railway Finance corporation limited" where the payment can be done only by UPI. So, I entered my phonePe UPI details, and i haven't received any UPI Mandate in the next 60 minutes. I unable to bid because the bid time was closed. Very bad experience will switch a better app.</t>
  </si>
  <si>
    <t xml:space="preserve">GS03</t>
  </si>
  <si>
    <t xml:space="preserve">No</t>
  </si>
  <si>
    <t xml:space="preserve">tradingqna</t>
  </si>
  <si>
    <t xml:space="preserve">CoolBird: Here you go. Care to share yours? image 762×420 15.1 KB Nifty index fund is just for comparision.</t>
  </si>
  <si>
    <t xml:space="preserve">GS04</t>
  </si>
  <si>
    <t xml:space="preserve">failed payment / mandate</t>
  </si>
  <si>
    <t xml:space="preserve">I missed my SIP payment !. I’m really disappointed at this app. I pay SIP per month but for some reason this month, all my SIPs couldn’t get processed because of some network error or technical issues from banks end but I couldn’t even repeat the payment because paytm money showed the payments were in progress the second time when I tried paying again! This is disappointing because now I have to pay in lumpsum (which I can’t)! And just like that, my sip for this month has been missed. 
I did not even log in to my net banking account so I did not even process my payment but payment in progress left me with no option but to wait for next month!</t>
  </si>
  <si>
    <t xml:space="preserve">lapsed_failed_payment</t>
  </si>
  <si>
    <t xml:space="preserve">involuntary</t>
  </si>
  <si>
    <t xml:space="preserve">payment_mandate_failure</t>
  </si>
  <si>
    <t xml:space="preserve">|skipped|</t>
  </si>
  <si>
    <t xml:space="preserve">|payment_mandate_failure|app_friction_or_bug|</t>
  </si>
  <si>
    <t xml:space="preserve">GS05</t>
  </si>
  <si>
    <t xml:space="preserve">I started sip last month and this month second installment deducted bt after someday I have got massage that ur second installment was rejected . So what is going to happening. If amount was deducted so where is my money when it well refund me. I trie to call customer care but not able to contact .. ☹️☹️, Why u were not able to contact to me My phone is one u can call my another , I tried to contact u Bt not able to contact with u...</t>
  </si>
  <si>
    <t xml:space="preserve">trust_or_support_failure</t>
  </si>
  <si>
    <t xml:space="preserve">|started|lapsed_failed_payment|</t>
  </si>
  <si>
    <t xml:space="preserve">|payment_mandate_failure|trust_or_support_failure|</t>
  </si>
  <si>
    <t xml:space="preserve">GS06</t>
  </si>
  <si>
    <t xml:space="preserve">Yes, the order will fail if the units are pledged in the backend. FYI soon we will start should the number of units pledged for mf</t>
  </si>
  <si>
    <t xml:space="preserve">|lapsed_failed_payment|</t>
  </si>
  <si>
    <t xml:space="preserve">|payment_mandate_failure|</t>
  </si>
  <si>
    <t xml:space="preserve">GS07</t>
  </si>
  <si>
    <t xml:space="preserve">voluntary stop/skip/pause</t>
  </si>
  <si>
    <t xml:space="preserve">Please correct the mention thing. 1 - when we start SIP, why we give compulsary initial investment amount. You give this on option, why compulsary. 2 - No option or choose SIP date. 3 - Add option for choose favourite. Bcz of this i stop using this app. When you correct this i will start using this again. Thankyou.</t>
  </si>
  <si>
    <t xml:space="preserve">missing_control_pause_skip_modify</t>
  </si>
  <si>
    <t xml:space="preserve">The user didn't even started the SIP due to App features so here acquisition itself failed. That's why choose none of these for 2nd and 3rd
</t>
  </si>
  <si>
    <t xml:space="preserve">|stopped_cancelled|</t>
  </si>
  <si>
    <t xml:space="preserve">voluntary</t>
  </si>
  <si>
    <t xml:space="preserve">|app_friction_or_bug|missing_control_pause_skip_modify|</t>
  </si>
  <si>
    <t xml:space="preserve">GS08</t>
  </si>
  <si>
    <t xml:space="preserve">deceptive and fraud behaviour. unable to cancel my mutual fund SIP for last 2 weeks. The cancellation process goes through and their is confirmation on the app but the cancellation doesn’t happen and there is no email confirmation. also customer care calls get disconnected and there is no other way to reach these folks.</t>
  </si>
  <si>
    <t xml:space="preserve">stopped_cancelled</t>
  </si>
  <si>
    <t xml:space="preserve">|app_friction_or_bug|trust_or_support_failure|</t>
  </si>
  <si>
    <t xml:space="preserve">GS09</t>
  </si>
  <si>
    <t xml:space="preserve">SIP is a good technique to buy into a MF or a direct EQ portfolio. However, a single stop SIP can be quite dangerous as you would be putting in all your money in a single stock. Please do check out this chapter, particularly on unsystematic risk - http://zerodha.com/varsity/chapter/risk-part-1/</t>
  </si>
  <si>
    <t xml:space="preserve">|other|</t>
  </si>
  <si>
    <t xml:space="preserve">GS10</t>
  </si>
  <si>
    <t xml:space="preserve">missing pause/skip control</t>
  </si>
  <si>
    <t xml:space="preserve">Hello dear groww, Could you please add "SIP pause" and "amount &amp; date modify " option in groww app. it will very helpful for us. As i see zerodha given these option to his customer but in groww we do not have these option. So can we expect groww will update this option and We will get this option as soon as possible. Thanks</t>
  </si>
  <si>
    <t xml:space="preserve">switched_platform</t>
  </si>
  <si>
    <t xml:space="preserve">|missing_control_pause_skip_modify|</t>
  </si>
  <si>
    <t xml:space="preserve">GS11</t>
  </si>
  <si>
    <t xml:space="preserve">zerodha varsity</t>
  </si>
  <si>
    <t xml:space="preserve">Sorry misspelled my name, its Mrinal 😅 ……….. And also one more query, i cannot place limit order on the ETFs in a Smallcase when I invest or do an SIP in it, so how do I go around that?</t>
  </si>
  <si>
    <t xml:space="preserve">GS12</t>
  </si>
  <si>
    <t xml:space="preserve">trust/support</t>
  </si>
  <si>
    <t xml:space="preserve">@Bhuvan @Meher_Smaran @nithin Some help here will be appreciated, as Nippon is quick to completely shift the responsibility to Zerodha!</t>
  </si>
  <si>
    <t xml:space="preserve">|trust_or_support_failure|</t>
  </si>
  <si>
    <t xml:space="preserve">GS13</t>
  </si>
  <si>
    <t xml:space="preserve">Application issue. I’m unable to open my portfolio.i want to close my all the investment,I’m very upset for your services,kindly help</t>
  </si>
  <si>
    <t xml:space="preserve">|redeemed_withdrew|</t>
  </si>
  <si>
    <t xml:space="preserve">|trust_or_support_failure|app_friction_or_bug|</t>
  </si>
  <si>
    <t xml:space="preserve">GS14</t>
  </si>
  <si>
    <t xml:space="preserve">confusing numbers</t>
  </si>
  <si>
    <t xml:space="preserve">financial instrument's biggest asset is trust but this app has eroded my trust as the number shown in app for investment and gain/ loss is highly unreliable. In a recent incident, My invested value is shown reduced by 50k while I redeem 20k in total(which would have gain portion too). Despite writing to groww support that number shown in app is misleading and accurate. There is no response and action. is this technical issue or something fishi in groww which vanish hard earned money of investors</t>
  </si>
  <si>
    <t xml:space="preserve">confusing_numbers_or_terms</t>
  </si>
  <si>
    <t xml:space="preserve">|checked_tracked|redeemed_withdrew|</t>
  </si>
  <si>
    <t xml:space="preserve">|confusing_numbers_or_terms|trust_or_support_failure|</t>
  </si>
  <si>
    <t xml:space="preserve">GS15</t>
  </si>
  <si>
    <t xml:space="preserve">Hello Sir, The SEBI 2017 circular mentions only Open-ended MF schemes. So, those guidelines are not applicable to closed-ended fund schemes? Thank you.</t>
  </si>
  <si>
    <t xml:space="preserve">|confusing_numbers_or_terms|</t>
  </si>
  <si>
    <t xml:space="preserve">GS16</t>
  </si>
  <si>
    <t xml:space="preserve">returns / volatility</t>
  </si>
  <si>
    <t xml:space="preserve">@mns2611 better to lose ourselves rather than another guy play and lose for us Recent DHFL default has affected many fund houses from UTI to DSP. I dont think debt funds or arbitrage fund etc has a reasonable promise even compared to equity funds promise Anycase i accept my knowledge in MF space is zero</t>
  </si>
  <si>
    <t xml:space="preserve">|negative_or_volatile_returns|</t>
  </si>
  <si>
    <t xml:space="preserve">GS17</t>
  </si>
  <si>
    <t xml:space="preserve">I did the mistake of using this platform for my mutual fund purchases. They are completely unreliable as they can even make the unit purchases against your order on the next day even when you make the payment with partner bank before 2pm. This has caused a loss to me multiple times as the market condition changed due to volatility.</t>
  </si>
  <si>
    <t xml:space="preserve">continued</t>
  </si>
  <si>
    <t xml:space="preserve">|app_friction_or_bug|negative_or_volatile_returns|</t>
  </si>
  <si>
    <t xml:space="preserve">GS18</t>
  </si>
  <si>
    <t xml:space="preserve">cashflow / emergency</t>
  </si>
  <si>
    <t xml:space="preserve">The only caveat is that many times some extra cash is available in the trading account but not in the bank account… so I would have to wait for redemption proceeds to initiate purchases in new MF…</t>
  </si>
  <si>
    <t xml:space="preserve">|cashflow_or_income_change|</t>
  </si>
  <si>
    <t xml:space="preserve">GS19</t>
  </si>
  <si>
    <t xml:space="preserve">I had withdrawn my investment in mutual funds a week ago. The app said the fund will be credited within 5 days. But i still didn't get the amount credited. When I tried to chat with their assistant boat. It doesn't reply properly. Hence I tried to mail them my issue. So i asked for customer care email id. But im not able to write them. The email wasn't supposed to be open for us. Even though my amount was small, it was important for me in this tough time. And this happened to me.</t>
  </si>
  <si>
    <t xml:space="preserve">|emergency_or_goal_need_for_money|trust_or_support_failure|</t>
  </si>
  <si>
    <t xml:space="preserve">GS20</t>
  </si>
  <si>
    <t xml:space="preserve">continuer / habit</t>
  </si>
  <si>
    <t xml:space="preserve">I have had a very wonderful experience with Zerodha for the past 2-3 years. I've been using these services. I regularly buy shares and mutual funds from them and have never faced an issue, and the support team is also very fabulous.</t>
  </si>
  <si>
    <t xml:space="preserve">|continued|</t>
  </si>
  <si>
    <t xml:space="preserve">GS21</t>
  </si>
  <si>
    <t xml:space="preserve">Great app for MF investors. am using app from 2019, its very easy to understand and suggestions in invest page list  are high returns. 
Also created a family account and currently managing spouse investment as well 
Compared to other platforms Kuvera is the best.</t>
  </si>
  <si>
    <t xml:space="preserve">|habit_or_automation_positive|</t>
  </si>
  <si>
    <t xml:space="preserve">GS22</t>
  </si>
  <si>
    <t xml:space="preserve">Hinglish/Hindi</t>
  </si>
  <si>
    <t xml:space="preserve">youtube</t>
  </si>
  <si>
    <t xml:space="preserve">Sahi baat mutual fund mein transparency nahi hai
Jab market girta hai to 5-10 hazar ek baar kam hote hein lekin jab market chdhta hai to 5-10 hazar jaldi recover nahi hota.</t>
  </si>
  <si>
    <t xml:space="preserve">|checked_tracked|</t>
  </si>
  <si>
    <t xml:space="preserve">GS23</t>
  </si>
  <si>
    <t xml:space="preserve">Sir agr sip time pr nhi bhar paye to kya hoga
Agr 10 tarikh h or 10 ko na bhar paye to kya hoga</t>
  </si>
  <si>
    <t xml:space="preserve">GS24</t>
  </si>
  <si>
    <t xml:space="preserve">GUARDRAIL: names a fund</t>
  </si>
  <si>
    <t xml:space="preserve">Sir as I told I’m student I don’t have any income source I decided to do sip for 100 While I was looking at funds which have low sip facility I found some funds UTI Mastershare fund largecap when compared to similar funds belonging to this category I choose uti’s scheme interesting but the UTI scheme is underperformed the benchmark senxex100 tri for 3,5,7years but did well compared to other funds like ABSl frontline equity..other funds similar to this Finally I found icici sensex index fund metrics were gud when compared to other funds, but the fund was started in 2017 I got only 3 years returns is it ok sir Any suggestions sir however my time horizon is for long term say</t>
  </si>
  <si>
    <t xml:space="preserve">|started|</t>
  </si>
  <si>
    <t xml:space="preserve">GS25</t>
  </si>
  <si>
    <t xml:space="preserve">I invested in ICICI mutual fund....at the time of my investment yearly growth was nearly 75% after 2 months...that became 135% but still there was no profit in my actual.money..invested. Another big issue...when i redeemed my money..they keep the money for about 7days..during that period if the money increases...they won.t give u that money....which will be displayed in the dashboard. But if your money..goes down you will get that amount only. U don't get the amount at which u redeemed.</t>
  </si>
  <si>
    <t xml:space="preserve">redeemed_withdrew</t>
  </si>
  <si>
    <t xml:space="preserve">returns_below_expectation</t>
  </si>
  <si>
    <t xml:space="preserve">GS26</t>
  </si>
  <si>
    <t xml:space="preserve">GUARDRAIL: asks what to buy/stop</t>
  </si>
  <si>
    <t xml:space="preserve">It would be great if you could suggest which mutual fund to invest money in to get appreciation. The App is working good.</t>
  </si>
  <si>
    <t xml:space="preserve">GS27</t>
  </si>
  <si>
    <t xml:space="preserve">People often recommend investing in low cost passive funds to achieve financial freedom and build wealth. However, this process can take at least 15-20 years. In the meantime, where should one invest for short-term goals? What kind portfolio is suitable for this to achieve this?</t>
  </si>
  <si>
    <t xml:space="preserve">Fields that differ</t>
  </si>
  <si>
    <t xml:space="preserve">Analyst diagnosis (Claude's reading; the labeller's labels are unchanged)</t>
  </si>
  <si>
    <t xml:space="preserve">event</t>
  </si>
  <si>
    <t xml:space="preserve">Event: two readings fit. Labeller: payment failed/lapsed; AI: skipped. The writer says the instalment did not process, which matches 'payment failed' more closely.</t>
  </si>
  <si>
    <t xml:space="preserve">drop-off</t>
  </si>
  <si>
    <t xml:space="preserve">Drop-off: labeller None, AI Involuntary. The second instalment was rejected after deduction; whether one rejected instalment counts as a drop-off is a definition boundary.</t>
  </si>
  <si>
    <t xml:space="preserve">relevant, event, drop-off, reason</t>
  </si>
  <si>
    <t xml:space="preserve">Relevance: a staff or forum reply explaining why orders fail, not the writer's own SIP experience. AI over-included forum replies.</t>
  </si>
  <si>
    <t xml:space="preserve">event, drop-off</t>
  </si>
  <si>
    <t xml:space="preserve">Event and drop-off: the writer asks for features before starting (labeller note: acquisition failed, nothing started). AI read it as a stop. AI over-read an event.</t>
  </si>
  <si>
    <t xml:space="preserve">reason</t>
  </si>
  <si>
    <t xml:space="preserve">Reason: labeller chose no clear reason; AI tagged app friction and trust/support for a cancellation that does not go through. Both defensible; the comment names an app failure.</t>
  </si>
  <si>
    <t xml:space="preserve">Relevance: general educational advice from a forum reply, not the writer's own SIP. AI over-included forum replies.</t>
  </si>
  <si>
    <t xml:space="preserve">Event: labeller chose switched platform (the writer compares with Zerodha); AI found no event. The writer asks for a feature and mentions a competitor; no switch is stated.</t>
  </si>
  <si>
    <t xml:space="preserve">relevant, reason</t>
  </si>
  <si>
    <t xml:space="preserve">Relevance: a query about limit orders on ETFs in a smallcase, not a mutual fund SIP experience. AI over-included.</t>
  </si>
  <si>
    <t xml:space="preserve">Relevance: a forum tag asking staff for help, no SIP content in the text itself. AI over-included.</t>
  </si>
  <si>
    <t xml:space="preserve">Event: labeller None, AI redeemed/withdrew. The writer wants to close all investments but has not yet; AI tagged an intention as an event.</t>
  </si>
  <si>
    <t xml:space="preserve">Event and drop-off: labeller stopped (voluntary); AI checked/redeemed with no drop-off. The writer describes lost trust in the numbers; a stop is implied, not stated.</t>
  </si>
  <si>
    <t xml:space="preserve">Relevance: a regulatory question about closed-ended schemes, not a personal SIP experience. AI over-included.</t>
  </si>
  <si>
    <t xml:space="preserve">Relevance: a general opinion on debt funds in a forum thread. AI over-included forum discussion.</t>
  </si>
  <si>
    <t xml:space="preserve">Event: labeller continued, AI none. The writer regrets using the platform; whether they still invest is not stated.</t>
  </si>
  <si>
    <t xml:space="preserve">Relevance: a forum reply about cash sitting in a trading account. AI over-included forum replies.</t>
  </si>
  <si>
    <t xml:space="preserve">event, drop-off, reason</t>
  </si>
  <si>
    <t xml:space="preserve">Event, drop-off and reason: labeller stopped (voluntary, no reason); AI redeemed (no drop-off) because of a need for money plus support failure. The text says 'withdrawn my investment' and the money was not credited: closer to the AI's reading.</t>
  </si>
  <si>
    <t xml:space="preserve">Reason: labeller no clear reason; AI habit/automation (positive) for a long-time happy user. Both defensible.</t>
  </si>
  <si>
    <t xml:space="preserve">relevant, event, reason</t>
  </si>
  <si>
    <t xml:space="preserve">Relevance: labeller No; AI Yes. A Hinglish comment on losses recovering slowly. By the codebook (own experience or view of mutual funds) it is arguably relevant; review candidate.</t>
  </si>
  <si>
    <t xml:space="preserve">relevant</t>
  </si>
  <si>
    <t xml:space="preserve">Relevance: labeller No; AI Yes. A Hinglish question: 'what happens if I can't pay my SIP on the 10th'. The definition counts an own question about SIPs as relevant; review candidate.</t>
  </si>
  <si>
    <t xml:space="preserve">Event: labeller continued, AI started. A student deciding to start a ₹100 SIP: 'started' fits the text more closely. AI's own fields named no fund (guardrail pass).</t>
  </si>
  <si>
    <t xml:space="preserve">drop-off, reason</t>
  </si>
  <si>
    <t xml:space="preserve">Drop-off and reason: labeller voluntary and returns below expectation; AI no drop-off and confusing numbers. The writer is confused by growth % vs actual profit; both readings are partly right.</t>
  </si>
  <si>
    <t xml:space="preserve">Relevance: labeller No; AI Yes. The writer asks the app to suggest a fund: a need about mutual funds (the definition counts needs). Review candidate. AI correctly did not name a fund.</t>
  </si>
  <si>
    <t xml:space="preserve">Relevance: labeller No; AI Yes. A general question about where to invest for short-term goals, posted on a forum; a generic advice question. Definition boundary.</t>
  </si>
  <si>
    <t xml:space="preserve">Source set</t>
  </si>
  <si>
    <t xml:space="preserve">Drop-off comments</t>
  </si>
  <si>
    <t xml:space="preserve">Involuntary (not their choice)</t>
  </si>
  <si>
    <t xml:space="preserve">Involuntary share</t>
  </si>
  <si>
    <t xml:space="preserve">Top reasons in drop-offs</t>
  </si>
  <si>
    <t xml:space="preserve">All sources</t>
  </si>
  <si>
    <t xml:space="preserve">App bug/friction 26.3%, trust/support 21.6%, payment/mandate failure 17.8%</t>
  </si>
  <si>
    <t xml:space="preserve">Excluding TradingQnA and Zerodha Varsity</t>
  </si>
  <si>
    <t xml:space="preserve">App bug/friction 26.6%, trust/support 23.2%, payment/mandate failure 18.2%</t>
  </si>
  <si>
    <t xml:space="preserve">App stores and Reddit only</t>
  </si>
  <si>
    <t xml:space="preserve">App bug/friction 28.2%, trust/support 25.5%, payment/mandate failure 17.9%</t>
  </si>
  <si>
    <t xml:space="preserve">Source: counts from the engine's tagged corpus (21,445 relevant comments), computed 31 Oct 2026 with the engine's counting tools.</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</si>
</sst>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b val="true"/>
      <sz val="11"/>
      <color rgb="FFFFFFFF"/>
      <name val="Arial"/>
      <family val="0"/>
      <charset val="1"/>
    </font>
    <font>
      <b val="true"/>
      <sz val="11"/>
      <name val="Arial"/>
      <family val="0"/>
      <charset val="1"/>
    </font>
    <font>
      <sz val="10"/>
      <name val="Arial"/>
      <family val="0"/>
      <charset val="1"/>
    </font>
  </fonts>
  <fills count="3">
    <fill>
      <patternFill patternType="none"/>
    </fill>
    <fill>
      <patternFill patternType="gray125"/>
    </fill>
    <fill>
      <patternFill patternType="solid">
        <fgColor rgb="FF00785A"/>
        <bgColor rgb="FF008080"/>
      </patternFill>
    </fill>
  </fills>
  <borders count="2">
    <border diagonalUp="false" diagonalDown="false">
      <left/>
      <right/>
      <top/>
      <bottom/>
      <diagonal/>
    </border>
    <border diagonalUp="false" diagonalDown="false">
      <left/>
      <right/>
      <top/>
      <bottom style="thin">
        <color rgb="FFD0D5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85A"/>
      <rgbColor rgb="FFC0C0C0"/>
      <rgbColor rgb="FF808080"/>
      <rgbColor rgb="FF9999FF"/>
      <rgbColor rgb="FF993366"/>
      <rgbColor rgb="FFFFFFCC"/>
      <rgbColor rgb="FFCCFFFF"/>
      <rgbColor rgb="FF660066"/>
      <rgbColor rgb="FFFF8080"/>
      <rgbColor rgb="FF0066CC"/>
      <rgbColor rgb="FFD0D5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2"/>
    <col collapsed="false" customWidth="true" hidden="false" outlineLevel="0" max="3" min="3" style="0" width="13"/>
    <col collapsed="false" customWidth="true" hidden="false" outlineLevel="0" max="4" min="4" style="0" width="14"/>
  </cols>
  <sheetData>
    <row r="1" customFormat="false" ht="17.35" hidden="false" customHeight="false" outlineLevel="0" collapsed="false">
      <c r="A1" s="1" t="s">
        <v>0</v>
      </c>
      <c r="B1" s="2"/>
      <c r="C1" s="2"/>
      <c r="D1" s="2"/>
    </row>
    <row r="2" customFormat="false" ht="60" hidden="false" customHeight="true" outlineLevel="0" collapsed="false">
      <c r="A2" s="3" t="s">
        <v>1</v>
      </c>
      <c r="B2" s="3"/>
      <c r="C2" s="3"/>
      <c r="D2" s="3"/>
    </row>
    <row r="3" customFormat="false" ht="15" hidden="false" customHeight="false" outlineLevel="0" collapsed="false">
      <c r="A3" s="2"/>
      <c r="B3" s="2"/>
      <c r="C3" s="2"/>
      <c r="D3" s="2"/>
    </row>
    <row r="4" customFormat="false" ht="15" hidden="false" customHeight="false" outlineLevel="0" collapsed="false">
      <c r="A4" s="4" t="s">
        <v>2</v>
      </c>
      <c r="B4" s="4" t="s">
        <v>3</v>
      </c>
      <c r="C4" s="4" t="s">
        <v>4</v>
      </c>
      <c r="D4" s="4" t="s">
        <v>5</v>
      </c>
    </row>
    <row r="5" customFormat="false" ht="15" hidden="false" customHeight="false" outlineLevel="0" collapsed="false">
      <c r="A5" s="2" t="s">
        <v>6</v>
      </c>
      <c r="B5" s="2" t="n">
        <f aca="false">SUMPRODUCT((Items!$B$2:$B$28="No")*Items!O2:O28)</f>
        <v>14</v>
      </c>
      <c r="C5" s="2" t="n">
        <f aca="false">COUNTIF(Items!$B$2:$B$28,"No")</f>
        <v>25</v>
      </c>
      <c r="D5" s="5" t="n">
        <f aca="false">IF(C5=0,"",B5/C5)</f>
        <v>0.56</v>
      </c>
    </row>
    <row r="6" customFormat="false" ht="15" hidden="false" customHeight="false" outlineLevel="0" collapsed="false">
      <c r="A6" s="2" t="s">
        <v>7</v>
      </c>
      <c r="B6" s="2" t="n">
        <f aca="false">SUMPRODUCT((Items!$B$2:$B$28="No")*Items!P2:P28)</f>
        <v>14</v>
      </c>
      <c r="C6" s="2" t="n">
        <f aca="false">COUNTIF(Items!$B$2:$B$28,"No")</f>
        <v>25</v>
      </c>
      <c r="D6" s="5" t="n">
        <f aca="false">IF(C6=0,"",B6/C6)</f>
        <v>0.56</v>
      </c>
    </row>
    <row r="7" customFormat="false" ht="15" hidden="false" customHeight="false" outlineLevel="0" collapsed="false">
      <c r="A7" s="2" t="s">
        <v>8</v>
      </c>
      <c r="B7" s="2" t="n">
        <f aca="false">SUMPRODUCT((Items!$B$2:$B$28="No")*Items!Q2:Q28)</f>
        <v>18</v>
      </c>
      <c r="C7" s="2" t="n">
        <f aca="false">COUNTIF(Items!$B$2:$B$28,"No")</f>
        <v>25</v>
      </c>
      <c r="D7" s="5" t="n">
        <f aca="false">IF(C7=0,"",B7/C7)</f>
        <v>0.72</v>
      </c>
    </row>
    <row r="8" customFormat="false" ht="15" hidden="false" customHeight="false" outlineLevel="0" collapsed="false">
      <c r="A8" s="2" t="s">
        <v>9</v>
      </c>
      <c r="B8" s="2" t="n">
        <f aca="false">SUMPRODUCT((Items!$B$2:$B$28="No")*Items!R2:R28)</f>
        <v>13</v>
      </c>
      <c r="C8" s="2" t="n">
        <f aca="false">COUNTIF(Items!$B$2:$B$28,"No")</f>
        <v>25</v>
      </c>
      <c r="D8" s="5" t="n">
        <f aca="false">IF(C8=0,"",B8/C8)</f>
        <v>0.52</v>
      </c>
    </row>
    <row r="9" customFormat="false" ht="15" hidden="false" customHeight="false" outlineLevel="0" collapsed="false">
      <c r="A9" s="6" t="s">
        <v>10</v>
      </c>
      <c r="B9" s="6" t="n">
        <f aca="false">SUM(B5:B8)</f>
        <v>59</v>
      </c>
      <c r="C9" s="6" t="n">
        <f aca="false">SUM(C5:C8)</f>
        <v>100</v>
      </c>
      <c r="D9" s="7" t="n">
        <f aca="false">IF(C9=0,"",B9/C9)</f>
        <v>0.59</v>
      </c>
    </row>
    <row r="10" customFormat="false" ht="15" hidden="false" customHeight="false" outlineLevel="0" collapsed="false">
      <c r="A10" s="2"/>
      <c r="B10" s="2"/>
      <c r="C10" s="2"/>
      <c r="D10" s="2"/>
    </row>
    <row r="11" customFormat="false" ht="15" hidden="false" customHeight="false" outlineLevel="0" collapsed="false">
      <c r="A11" s="2" t="s">
        <v>11</v>
      </c>
      <c r="B11" s="2"/>
      <c r="C11" s="2"/>
      <c r="D11" s="2" t="n">
        <f aca="false">COUNTIF(Items!S2:S28,"VIOLATION*")</f>
        <v>0</v>
      </c>
    </row>
    <row r="12" customFormat="false" ht="15" hidden="false" customHeight="false" outlineLevel="0" collapsed="false">
      <c r="A12" s="2" t="s">
        <v>12</v>
      </c>
      <c r="B12" s="2"/>
      <c r="C12" s="2"/>
      <c r="D12" s="2"/>
    </row>
    <row r="13" customFormat="false" ht="15" hidden="false" customHeight="false" outlineLevel="0" collapsed="false">
      <c r="A13" s="2"/>
      <c r="B13" s="2"/>
      <c r="C13" s="2"/>
      <c r="D13" s="2"/>
    </row>
    <row r="14" customFormat="false" ht="15" hidden="false" customHeight="false" outlineLevel="0" collapsed="false">
      <c r="A14" s="6" t="s">
        <v>13</v>
      </c>
      <c r="B14" s="2"/>
      <c r="C14" s="2"/>
      <c r="D14" s="2"/>
    </row>
    <row r="15" customFormat="false" ht="45" hidden="false" customHeight="true" outlineLevel="0" collapsed="false">
      <c r="A15" s="3" t="s">
        <v>14</v>
      </c>
      <c r="B15" s="3"/>
      <c r="C15" s="3"/>
      <c r="D15" s="3"/>
    </row>
    <row r="16" customFormat="false" ht="45" hidden="false" customHeight="true" outlineLevel="0" collapsed="false">
      <c r="A16" s="3" t="s">
        <v>15</v>
      </c>
      <c r="B16" s="3"/>
      <c r="C16" s="3"/>
      <c r="D16" s="3"/>
    </row>
    <row r="17" customFormat="false" ht="45" hidden="false" customHeight="true" outlineLevel="0" collapsed="false">
      <c r="A17" s="3" t="s">
        <v>16</v>
      </c>
      <c r="B17" s="3"/>
      <c r="C17" s="3"/>
      <c r="D17" s="3"/>
    </row>
    <row r="18" customFormat="false" ht="45" hidden="false" customHeight="true" outlineLevel="0" collapsed="false">
      <c r="A18" s="3" t="s">
        <v>17</v>
      </c>
      <c r="B18" s="3"/>
      <c r="C18" s="3"/>
      <c r="D18" s="3"/>
    </row>
  </sheetData>
  <mergeCells count="5">
    <mergeCell ref="A2:D2"/>
    <mergeCell ref="A15:D15"/>
    <mergeCell ref="A16:D16"/>
    <mergeCell ref="A17:D17"/>
    <mergeCell ref="A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20"/>
    <col collapsed="false" customWidth="true" hidden="false" outlineLevel="0" max="4" min="4" style="0" width="13"/>
    <col collapsed="false" customWidth="true" hidden="false" outlineLevel="0" max="5" min="5" style="0" width="60"/>
    <col collapsed="false" customWidth="true" hidden="false" outlineLevel="0" max="6" min="6" style="0" width="10"/>
    <col collapsed="false" customWidth="true" hidden="false" outlineLevel="0" max="7" min="7" style="0" width="18"/>
    <col collapsed="false" customWidth="true" hidden="false" outlineLevel="0" max="8" min="8" style="0" width="12"/>
    <col collapsed="false" customWidth="true" hidden="false" outlineLevel="0" max="9" min="9" style="0" width="22"/>
    <col collapsed="false" customWidth="true" hidden="false" outlineLevel="0" max="10" min="10" style="0" width="30"/>
    <col collapsed="false" customWidth="true" hidden="false" outlineLevel="0" max="11" min="11" style="0" width="9"/>
    <col collapsed="false" customWidth="true" hidden="false" outlineLevel="0" max="12" min="12" style="0" width="26"/>
    <col collapsed="false" customWidth="true" hidden="false" outlineLevel="0" max="13" min="13" style="0" width="12"/>
    <col collapsed="false" customWidth="true" hidden="false" outlineLevel="0" max="14" min="14" style="0" width="30"/>
    <col collapsed="false" customWidth="true" hidden="false" outlineLevel="0" max="18" min="15" style="0" width="9"/>
    <col collapsed="false" customWidth="true" hidden="false" outlineLevel="0" max="19" min="19" style="0" width="12"/>
  </cols>
  <sheetData>
    <row r="1" customFormat="false" ht="39.55" hidden="false" customHeight="false" outlineLevel="0" collapsed="false">
      <c r="A1" s="8" t="s">
        <v>18</v>
      </c>
      <c r="B1" s="8" t="s">
        <v>19</v>
      </c>
      <c r="C1" s="8" t="s">
        <v>20</v>
      </c>
      <c r="D1" s="8" t="s">
        <v>21</v>
      </c>
      <c r="E1" s="8" t="s">
        <v>22</v>
      </c>
      <c r="F1" s="8" t="s">
        <v>23</v>
      </c>
      <c r="G1" s="8" t="s">
        <v>24</v>
      </c>
      <c r="H1" s="8" t="s">
        <v>25</v>
      </c>
      <c r="I1" s="8" t="s">
        <v>26</v>
      </c>
      <c r="J1" s="8" t="s">
        <v>27</v>
      </c>
      <c r="K1" s="8" t="s">
        <v>28</v>
      </c>
      <c r="L1" s="8" t="s">
        <v>29</v>
      </c>
      <c r="M1" s="8" t="s">
        <v>30</v>
      </c>
      <c r="N1" s="8" t="s">
        <v>31</v>
      </c>
      <c r="O1" s="8" t="s">
        <v>32</v>
      </c>
      <c r="P1" s="8" t="s">
        <v>33</v>
      </c>
      <c r="Q1" s="8" t="s">
        <v>34</v>
      </c>
      <c r="R1" s="8" t="s">
        <v>35</v>
      </c>
      <c r="S1" s="8" t="s">
        <v>36</v>
      </c>
    </row>
    <row r="2" customFormat="false" ht="23.85" hidden="false" customHeight="false" outlineLevel="0" collapsed="false">
      <c r="A2" s="9" t="s">
        <v>37</v>
      </c>
      <c r="B2" s="9" t="s">
        <v>38</v>
      </c>
      <c r="C2" s="9" t="s">
        <v>39</v>
      </c>
      <c r="D2" s="9" t="s">
        <v>40</v>
      </c>
      <c r="E2" s="9" t="s">
        <v>41</v>
      </c>
      <c r="F2" s="9" t="s">
        <v>42</v>
      </c>
      <c r="G2" s="9" t="s">
        <v>43</v>
      </c>
      <c r="H2" s="9" t="s">
        <v>44</v>
      </c>
      <c r="I2" s="9" t="s">
        <v>45</v>
      </c>
      <c r="J2" s="9"/>
      <c r="K2" s="9" t="s">
        <v>46</v>
      </c>
      <c r="L2" s="9" t="s">
        <v>47</v>
      </c>
      <c r="M2" s="9" t="s">
        <v>44</v>
      </c>
      <c r="N2" s="9" t="s">
        <v>47</v>
      </c>
      <c r="O2" s="9" t="n">
        <f aca="false">IF(F2=K2,1,0)</f>
        <v>0</v>
      </c>
      <c r="P2" s="9" t="n">
        <f aca="false">IF(OR(ISNUMBER(SEARCH("|"&amp;G2&amp;"|",L2)),AND(G2="none",OR(L2="|none|",L2=""))),1,0)</f>
        <v>0</v>
      </c>
      <c r="Q2" s="9" t="n">
        <f aca="false">IF(H2=M2,1,0)</f>
        <v>1</v>
      </c>
      <c r="R2" s="9" t="n">
        <f aca="false">IF(OR(ISNUMBER(SEARCH("|"&amp;I2&amp;"|",N2)),AND(I2="none",OR(N2="|none|",N2=""))),1,0)</f>
        <v>0</v>
      </c>
      <c r="S2" s="9" t="s">
        <v>48</v>
      </c>
    </row>
    <row r="3" customFormat="false" ht="57.45" hidden="false" customHeight="false" outlineLevel="0" collapsed="false">
      <c r="A3" s="9" t="s">
        <v>49</v>
      </c>
      <c r="B3" s="9" t="s">
        <v>38</v>
      </c>
      <c r="C3" s="9" t="s">
        <v>39</v>
      </c>
      <c r="D3" s="9" t="s">
        <v>50</v>
      </c>
      <c r="E3" s="9" t="s">
        <v>51</v>
      </c>
      <c r="F3" s="9" t="s">
        <v>46</v>
      </c>
      <c r="G3" s="9" t="s">
        <v>44</v>
      </c>
      <c r="H3" s="9" t="s">
        <v>44</v>
      </c>
      <c r="I3" s="9" t="s">
        <v>44</v>
      </c>
      <c r="J3" s="9"/>
      <c r="K3" s="9" t="s">
        <v>46</v>
      </c>
      <c r="L3" s="9" t="s">
        <v>47</v>
      </c>
      <c r="M3" s="9" t="s">
        <v>44</v>
      </c>
      <c r="N3" s="9" t="s">
        <v>47</v>
      </c>
      <c r="O3" s="9" t="n">
        <f aca="false">IF(F3=K3,1,0)</f>
        <v>1</v>
      </c>
      <c r="P3" s="9" t="n">
        <f aca="false">IF(OR(ISNUMBER(SEARCH("|"&amp;G3&amp;"|",L3)),AND(G3="none",OR(L3="|none|",L3=""))),1,0)</f>
        <v>1</v>
      </c>
      <c r="Q3" s="9" t="n">
        <f aca="false">IF(H3=M3,1,0)</f>
        <v>1</v>
      </c>
      <c r="R3" s="9" t="n">
        <f aca="false">IF(OR(ISNUMBER(SEARCH("|"&amp;I3&amp;"|",N3)),AND(I3="none",OR(N3="|none|",N3=""))),1,0)</f>
        <v>1</v>
      </c>
      <c r="S3" s="9" t="s">
        <v>48</v>
      </c>
    </row>
    <row r="4" customFormat="false" ht="23.85" hidden="false" customHeight="false" outlineLevel="0" collapsed="false">
      <c r="A4" s="9" t="s">
        <v>52</v>
      </c>
      <c r="B4" s="9" t="s">
        <v>53</v>
      </c>
      <c r="C4" s="9" t="s">
        <v>39</v>
      </c>
      <c r="D4" s="9" t="s">
        <v>54</v>
      </c>
      <c r="E4" s="9" t="s">
        <v>55</v>
      </c>
      <c r="F4" s="9" t="s">
        <v>46</v>
      </c>
      <c r="G4" s="9" t="s">
        <v>44</v>
      </c>
      <c r="H4" s="9" t="s">
        <v>44</v>
      </c>
      <c r="I4" s="9" t="s">
        <v>44</v>
      </c>
      <c r="J4" s="9"/>
      <c r="K4" s="9" t="s">
        <v>46</v>
      </c>
      <c r="L4" s="9" t="s">
        <v>47</v>
      </c>
      <c r="M4" s="9" t="s">
        <v>44</v>
      </c>
      <c r="N4" s="9" t="s">
        <v>47</v>
      </c>
      <c r="O4" s="9" t="n">
        <f aca="false">IF(F4=K4,1,0)</f>
        <v>1</v>
      </c>
      <c r="P4" s="9" t="n">
        <f aca="false">IF(OR(ISNUMBER(SEARCH("|"&amp;G4&amp;"|",L4)),AND(G4="none",OR(L4="|none|",L4=""))),1,0)</f>
        <v>1</v>
      </c>
      <c r="Q4" s="9" t="n">
        <f aca="false">IF(H4=M4,1,0)</f>
        <v>1</v>
      </c>
      <c r="R4" s="9" t="n">
        <f aca="false">IF(OR(ISNUMBER(SEARCH("|"&amp;I4&amp;"|",N4)),AND(I4="none",OR(N4="|none|",N4=""))),1,0)</f>
        <v>1</v>
      </c>
      <c r="S4" s="9" t="s">
        <v>48</v>
      </c>
    </row>
    <row r="5" customFormat="false" ht="113.4" hidden="false" customHeight="false" outlineLevel="0" collapsed="false">
      <c r="A5" s="9" t="s">
        <v>56</v>
      </c>
      <c r="B5" s="9" t="s">
        <v>53</v>
      </c>
      <c r="C5" s="9" t="s">
        <v>57</v>
      </c>
      <c r="D5" s="9" t="s">
        <v>40</v>
      </c>
      <c r="E5" s="9" t="s">
        <v>58</v>
      </c>
      <c r="F5" s="9" t="s">
        <v>42</v>
      </c>
      <c r="G5" s="9" t="s">
        <v>59</v>
      </c>
      <c r="H5" s="9" t="s">
        <v>60</v>
      </c>
      <c r="I5" s="9" t="s">
        <v>61</v>
      </c>
      <c r="J5" s="9"/>
      <c r="K5" s="9" t="s">
        <v>42</v>
      </c>
      <c r="L5" s="9" t="s">
        <v>62</v>
      </c>
      <c r="M5" s="9" t="s">
        <v>60</v>
      </c>
      <c r="N5" s="9" t="s">
        <v>63</v>
      </c>
      <c r="O5" s="9" t="n">
        <f aca="false">IF(F5=K5,1,0)</f>
        <v>1</v>
      </c>
      <c r="P5" s="9" t="n">
        <f aca="false">IF(OR(ISNUMBER(SEARCH("|"&amp;G5&amp;"|",L5)),AND(G5="none",OR(L5="|none|",L5=""))),1,0)</f>
        <v>0</v>
      </c>
      <c r="Q5" s="9" t="n">
        <f aca="false">IF(H5=M5,1,0)</f>
        <v>1</v>
      </c>
      <c r="R5" s="9" t="n">
        <f aca="false">IF(OR(ISNUMBER(SEARCH("|"&amp;I5&amp;"|",N5)),AND(I5="none",OR(N5="|none|",N5=""))),1,0)</f>
        <v>1</v>
      </c>
      <c r="S5" s="9" t="s">
        <v>48</v>
      </c>
    </row>
    <row r="6" customFormat="false" ht="68.65" hidden="false" customHeight="false" outlineLevel="0" collapsed="false">
      <c r="A6" s="9" t="s">
        <v>64</v>
      </c>
      <c r="B6" s="9" t="s">
        <v>53</v>
      </c>
      <c r="C6" s="9" t="s">
        <v>57</v>
      </c>
      <c r="D6" s="9" t="s">
        <v>50</v>
      </c>
      <c r="E6" s="9" t="s">
        <v>65</v>
      </c>
      <c r="F6" s="9" t="s">
        <v>42</v>
      </c>
      <c r="G6" s="9" t="s">
        <v>59</v>
      </c>
      <c r="H6" s="9" t="s">
        <v>44</v>
      </c>
      <c r="I6" s="9" t="s">
        <v>66</v>
      </c>
      <c r="J6" s="9"/>
      <c r="K6" s="9" t="s">
        <v>42</v>
      </c>
      <c r="L6" s="9" t="s">
        <v>67</v>
      </c>
      <c r="M6" s="9" t="s">
        <v>60</v>
      </c>
      <c r="N6" s="9" t="s">
        <v>68</v>
      </c>
      <c r="O6" s="9" t="n">
        <f aca="false">IF(F6=K6,1,0)</f>
        <v>1</v>
      </c>
      <c r="P6" s="9" t="n">
        <f aca="false">IF(OR(ISNUMBER(SEARCH("|"&amp;G6&amp;"|",L6)),AND(G6="none",OR(L6="|none|",L6=""))),1,0)</f>
        <v>1</v>
      </c>
      <c r="Q6" s="9" t="n">
        <f aca="false">IF(H6=M6,1,0)</f>
        <v>0</v>
      </c>
      <c r="R6" s="9" t="n">
        <f aca="false">IF(OR(ISNUMBER(SEARCH("|"&amp;I6&amp;"|",N6)),AND(I6="none",OR(N6="|none|",N6=""))),1,0)</f>
        <v>1</v>
      </c>
      <c r="S6" s="9" t="s">
        <v>48</v>
      </c>
    </row>
    <row r="7" customFormat="false" ht="23.85" hidden="false" customHeight="false" outlineLevel="0" collapsed="false">
      <c r="A7" s="9" t="s">
        <v>69</v>
      </c>
      <c r="B7" s="9" t="s">
        <v>53</v>
      </c>
      <c r="C7" s="9" t="s">
        <v>57</v>
      </c>
      <c r="D7" s="9" t="s">
        <v>54</v>
      </c>
      <c r="E7" s="9" t="s">
        <v>70</v>
      </c>
      <c r="F7" s="9" t="s">
        <v>46</v>
      </c>
      <c r="G7" s="9" t="s">
        <v>44</v>
      </c>
      <c r="H7" s="9" t="s">
        <v>44</v>
      </c>
      <c r="I7" s="9" t="s">
        <v>44</v>
      </c>
      <c r="J7" s="9"/>
      <c r="K7" s="9" t="s">
        <v>42</v>
      </c>
      <c r="L7" s="9" t="s">
        <v>71</v>
      </c>
      <c r="M7" s="9" t="s">
        <v>60</v>
      </c>
      <c r="N7" s="9" t="s">
        <v>72</v>
      </c>
      <c r="O7" s="9" t="n">
        <f aca="false">IF(F7=K7,1,0)</f>
        <v>0</v>
      </c>
      <c r="P7" s="9" t="n">
        <f aca="false">IF(OR(ISNUMBER(SEARCH("|"&amp;G7&amp;"|",L7)),AND(G7="none",OR(L7="|none|",L7=""))),1,0)</f>
        <v>0</v>
      </c>
      <c r="Q7" s="9" t="n">
        <f aca="false">IF(H7=M7,1,0)</f>
        <v>0</v>
      </c>
      <c r="R7" s="9" t="n">
        <f aca="false">IF(OR(ISNUMBER(SEARCH("|"&amp;I7&amp;"|",N7)),AND(I7="none",OR(N7="|none|",N7=""))),1,0)</f>
        <v>0</v>
      </c>
      <c r="S7" s="9" t="s">
        <v>48</v>
      </c>
    </row>
    <row r="8" customFormat="false" ht="68.65" hidden="false" customHeight="false" outlineLevel="0" collapsed="false">
      <c r="A8" s="9" t="s">
        <v>73</v>
      </c>
      <c r="B8" s="9" t="s">
        <v>53</v>
      </c>
      <c r="C8" s="9" t="s">
        <v>74</v>
      </c>
      <c r="D8" s="9" t="s">
        <v>50</v>
      </c>
      <c r="E8" s="9" t="s">
        <v>75</v>
      </c>
      <c r="F8" s="9" t="s">
        <v>42</v>
      </c>
      <c r="G8" s="9" t="s">
        <v>44</v>
      </c>
      <c r="H8" s="9" t="s">
        <v>44</v>
      </c>
      <c r="I8" s="9" t="s">
        <v>76</v>
      </c>
      <c r="J8" s="9" t="s">
        <v>77</v>
      </c>
      <c r="K8" s="9" t="s">
        <v>42</v>
      </c>
      <c r="L8" s="9" t="s">
        <v>78</v>
      </c>
      <c r="M8" s="9" t="s">
        <v>79</v>
      </c>
      <c r="N8" s="9" t="s">
        <v>80</v>
      </c>
      <c r="O8" s="9" t="n">
        <f aca="false">IF(F8=K8,1,0)</f>
        <v>1</v>
      </c>
      <c r="P8" s="9" t="n">
        <f aca="false">IF(OR(ISNUMBER(SEARCH("|"&amp;G8&amp;"|",L8)),AND(G8="none",OR(L8="|none|",L8=""))),1,0)</f>
        <v>0</v>
      </c>
      <c r="Q8" s="9" t="n">
        <f aca="false">IF(H8=M8,1,0)</f>
        <v>0</v>
      </c>
      <c r="R8" s="9" t="n">
        <f aca="false">IF(OR(ISNUMBER(SEARCH("|"&amp;I8&amp;"|",N8)),AND(I8="none",OR(N8="|none|",N8=""))),1,0)</f>
        <v>1</v>
      </c>
      <c r="S8" s="9" t="s">
        <v>48</v>
      </c>
    </row>
    <row r="9" customFormat="false" ht="57.45" hidden="false" customHeight="false" outlineLevel="0" collapsed="false">
      <c r="A9" s="9" t="s">
        <v>81</v>
      </c>
      <c r="B9" s="9" t="s">
        <v>53</v>
      </c>
      <c r="C9" s="9" t="s">
        <v>74</v>
      </c>
      <c r="D9" s="9" t="s">
        <v>40</v>
      </c>
      <c r="E9" s="9" t="s">
        <v>82</v>
      </c>
      <c r="F9" s="9" t="s">
        <v>42</v>
      </c>
      <c r="G9" s="9" t="s">
        <v>83</v>
      </c>
      <c r="H9" s="9" t="s">
        <v>79</v>
      </c>
      <c r="I9" s="9" t="s">
        <v>44</v>
      </c>
      <c r="J9" s="9"/>
      <c r="K9" s="9" t="s">
        <v>42</v>
      </c>
      <c r="L9" s="9" t="s">
        <v>78</v>
      </c>
      <c r="M9" s="9" t="s">
        <v>79</v>
      </c>
      <c r="N9" s="9" t="s">
        <v>84</v>
      </c>
      <c r="O9" s="9" t="n">
        <f aca="false">IF(F9=K9,1,0)</f>
        <v>1</v>
      </c>
      <c r="P9" s="9" t="n">
        <f aca="false">IF(OR(ISNUMBER(SEARCH("|"&amp;G9&amp;"|",L9)),AND(G9="none",OR(L9="|none|",L9=""))),1,0)</f>
        <v>1</v>
      </c>
      <c r="Q9" s="9" t="n">
        <f aca="false">IF(H9=M9,1,0)</f>
        <v>1</v>
      </c>
      <c r="R9" s="9" t="n">
        <f aca="false">IF(OR(ISNUMBER(SEARCH("|"&amp;I9&amp;"|",N9)),AND(I9="none",OR(N9="|none|",N9=""))),1,0)</f>
        <v>0</v>
      </c>
      <c r="S9" s="9" t="s">
        <v>48</v>
      </c>
    </row>
    <row r="10" customFormat="false" ht="57.45" hidden="false" customHeight="false" outlineLevel="0" collapsed="false">
      <c r="A10" s="9" t="s">
        <v>85</v>
      </c>
      <c r="B10" s="9" t="s">
        <v>53</v>
      </c>
      <c r="C10" s="9" t="s">
        <v>74</v>
      </c>
      <c r="D10" s="9" t="s">
        <v>54</v>
      </c>
      <c r="E10" s="9" t="s">
        <v>86</v>
      </c>
      <c r="F10" s="9" t="s">
        <v>46</v>
      </c>
      <c r="G10" s="9" t="s">
        <v>44</v>
      </c>
      <c r="H10" s="9" t="s">
        <v>44</v>
      </c>
      <c r="I10" s="9" t="s">
        <v>44</v>
      </c>
      <c r="J10" s="9"/>
      <c r="K10" s="9" t="s">
        <v>42</v>
      </c>
      <c r="L10" s="9" t="s">
        <v>78</v>
      </c>
      <c r="M10" s="9" t="s">
        <v>79</v>
      </c>
      <c r="N10" s="9" t="s">
        <v>87</v>
      </c>
      <c r="O10" s="9" t="n">
        <f aca="false">IF(F10=K10,1,0)</f>
        <v>0</v>
      </c>
      <c r="P10" s="9" t="n">
        <f aca="false">IF(OR(ISNUMBER(SEARCH("|"&amp;G10&amp;"|",L10)),AND(G10="none",OR(L10="|none|",L10=""))),1,0)</f>
        <v>0</v>
      </c>
      <c r="Q10" s="9" t="n">
        <f aca="false">IF(H10=M10,1,0)</f>
        <v>0</v>
      </c>
      <c r="R10" s="9" t="n">
        <f aca="false">IF(OR(ISNUMBER(SEARCH("|"&amp;I10&amp;"|",N10)),AND(I10="none",OR(N10="|none|",N10=""))),1,0)</f>
        <v>0</v>
      </c>
      <c r="S10" s="9" t="s">
        <v>48</v>
      </c>
    </row>
    <row r="11" customFormat="false" ht="57.45" hidden="false" customHeight="false" outlineLevel="0" collapsed="false">
      <c r="A11" s="9" t="s">
        <v>88</v>
      </c>
      <c r="B11" s="9" t="s">
        <v>53</v>
      </c>
      <c r="C11" s="9" t="s">
        <v>89</v>
      </c>
      <c r="D11" s="9" t="s">
        <v>50</v>
      </c>
      <c r="E11" s="9" t="s">
        <v>90</v>
      </c>
      <c r="F11" s="9" t="s">
        <v>42</v>
      </c>
      <c r="G11" s="9" t="s">
        <v>91</v>
      </c>
      <c r="H11" s="9" t="s">
        <v>44</v>
      </c>
      <c r="I11" s="9" t="s">
        <v>76</v>
      </c>
      <c r="J11" s="9"/>
      <c r="K11" s="9" t="s">
        <v>42</v>
      </c>
      <c r="L11" s="9" t="s">
        <v>47</v>
      </c>
      <c r="M11" s="9" t="s">
        <v>44</v>
      </c>
      <c r="N11" s="9" t="s">
        <v>92</v>
      </c>
      <c r="O11" s="9" t="n">
        <f aca="false">IF(F11=K11,1,0)</f>
        <v>1</v>
      </c>
      <c r="P11" s="9" t="n">
        <f aca="false">IF(OR(ISNUMBER(SEARCH("|"&amp;G11&amp;"|",L11)),AND(G11="none",OR(L11="|none|",L11=""))),1,0)</f>
        <v>0</v>
      </c>
      <c r="Q11" s="9" t="n">
        <f aca="false">IF(H11=M11,1,0)</f>
        <v>1</v>
      </c>
      <c r="R11" s="9" t="n">
        <f aca="false">IF(OR(ISNUMBER(SEARCH("|"&amp;I11&amp;"|",N11)),AND(I11="none",OR(N11="|none|",N11=""))),1,0)</f>
        <v>1</v>
      </c>
      <c r="S11" s="9" t="s">
        <v>48</v>
      </c>
    </row>
    <row r="12" customFormat="false" ht="35.05" hidden="false" customHeight="false" outlineLevel="0" collapsed="false">
      <c r="A12" s="9" t="s">
        <v>93</v>
      </c>
      <c r="B12" s="9" t="s">
        <v>53</v>
      </c>
      <c r="C12" s="9" t="s">
        <v>89</v>
      </c>
      <c r="D12" s="9" t="s">
        <v>94</v>
      </c>
      <c r="E12" s="9" t="s">
        <v>95</v>
      </c>
      <c r="F12" s="9" t="s">
        <v>46</v>
      </c>
      <c r="G12" s="9" t="s">
        <v>44</v>
      </c>
      <c r="H12" s="9" t="s">
        <v>44</v>
      </c>
      <c r="I12" s="9" t="s">
        <v>44</v>
      </c>
      <c r="J12" s="9"/>
      <c r="K12" s="9" t="s">
        <v>42</v>
      </c>
      <c r="L12" s="9" t="s">
        <v>47</v>
      </c>
      <c r="M12" s="9" t="s">
        <v>44</v>
      </c>
      <c r="N12" s="9" t="s">
        <v>92</v>
      </c>
      <c r="O12" s="9" t="n">
        <f aca="false">IF(F12=K12,1,0)</f>
        <v>0</v>
      </c>
      <c r="P12" s="9" t="n">
        <f aca="false">IF(OR(ISNUMBER(SEARCH("|"&amp;G12&amp;"|",L12)),AND(G12="none",OR(L12="|none|",L12=""))),1,0)</f>
        <v>1</v>
      </c>
      <c r="Q12" s="9" t="n">
        <f aca="false">IF(H12=M12,1,0)</f>
        <v>1</v>
      </c>
      <c r="R12" s="9" t="n">
        <f aca="false">IF(OR(ISNUMBER(SEARCH("|"&amp;I12&amp;"|",N12)),AND(I12="none",OR(N12="|none|",N12=""))),1,0)</f>
        <v>0</v>
      </c>
      <c r="S12" s="9" t="s">
        <v>48</v>
      </c>
    </row>
    <row r="13" customFormat="false" ht="23.85" hidden="false" customHeight="false" outlineLevel="0" collapsed="false">
      <c r="A13" s="9" t="s">
        <v>96</v>
      </c>
      <c r="B13" s="9" t="s">
        <v>53</v>
      </c>
      <c r="C13" s="9" t="s">
        <v>97</v>
      </c>
      <c r="D13" s="9" t="s">
        <v>54</v>
      </c>
      <c r="E13" s="9" t="s">
        <v>98</v>
      </c>
      <c r="F13" s="9" t="s">
        <v>46</v>
      </c>
      <c r="G13" s="9" t="s">
        <v>44</v>
      </c>
      <c r="H13" s="9" t="s">
        <v>44</v>
      </c>
      <c r="I13" s="9" t="s">
        <v>44</v>
      </c>
      <c r="J13" s="9"/>
      <c r="K13" s="9" t="s">
        <v>42</v>
      </c>
      <c r="L13" s="9" t="s">
        <v>47</v>
      </c>
      <c r="M13" s="9" t="s">
        <v>44</v>
      </c>
      <c r="N13" s="9" t="s">
        <v>99</v>
      </c>
      <c r="O13" s="9" t="n">
        <f aca="false">IF(F13=K13,1,0)</f>
        <v>0</v>
      </c>
      <c r="P13" s="9" t="n">
        <f aca="false">IF(OR(ISNUMBER(SEARCH("|"&amp;G13&amp;"|",L13)),AND(G13="none",OR(L13="|none|",L13=""))),1,0)</f>
        <v>1</v>
      </c>
      <c r="Q13" s="9" t="n">
        <f aca="false">IF(H13=M13,1,0)</f>
        <v>1</v>
      </c>
      <c r="R13" s="9" t="n">
        <f aca="false">IF(OR(ISNUMBER(SEARCH("|"&amp;I13&amp;"|",N13)),AND(I13="none",OR(N13="|none|",N13=""))),1,0)</f>
        <v>0</v>
      </c>
      <c r="S13" s="9" t="s">
        <v>48</v>
      </c>
    </row>
    <row r="14" customFormat="false" ht="23.85" hidden="false" customHeight="false" outlineLevel="0" collapsed="false">
      <c r="A14" s="9" t="s">
        <v>100</v>
      </c>
      <c r="B14" s="9" t="s">
        <v>53</v>
      </c>
      <c r="C14" s="9" t="s">
        <v>97</v>
      </c>
      <c r="D14" s="9" t="s">
        <v>40</v>
      </c>
      <c r="E14" s="9" t="s">
        <v>101</v>
      </c>
      <c r="F14" s="9" t="s">
        <v>42</v>
      </c>
      <c r="G14" s="9" t="s">
        <v>44</v>
      </c>
      <c r="H14" s="9" t="s">
        <v>79</v>
      </c>
      <c r="I14" s="9" t="s">
        <v>45</v>
      </c>
      <c r="J14" s="9"/>
      <c r="K14" s="9" t="s">
        <v>42</v>
      </c>
      <c r="L14" s="9" t="s">
        <v>102</v>
      </c>
      <c r="M14" s="9" t="s">
        <v>79</v>
      </c>
      <c r="N14" s="9" t="s">
        <v>103</v>
      </c>
      <c r="O14" s="9" t="n">
        <f aca="false">IF(F14=K14,1,0)</f>
        <v>1</v>
      </c>
      <c r="P14" s="9" t="n">
        <f aca="false">IF(OR(ISNUMBER(SEARCH("|"&amp;G14&amp;"|",L14)),AND(G14="none",OR(L14="|none|",L14=""))),1,0)</f>
        <v>0</v>
      </c>
      <c r="Q14" s="9" t="n">
        <f aca="false">IF(H14=M14,1,0)</f>
        <v>1</v>
      </c>
      <c r="R14" s="9" t="n">
        <f aca="false">IF(OR(ISNUMBER(SEARCH("|"&amp;I14&amp;"|",N14)),AND(I14="none",OR(N14="|none|",N14=""))),1,0)</f>
        <v>1</v>
      </c>
      <c r="S14" s="9" t="s">
        <v>48</v>
      </c>
    </row>
    <row r="15" customFormat="false" ht="79.85" hidden="false" customHeight="false" outlineLevel="0" collapsed="false">
      <c r="A15" s="9" t="s">
        <v>104</v>
      </c>
      <c r="B15" s="9" t="s">
        <v>53</v>
      </c>
      <c r="C15" s="9" t="s">
        <v>105</v>
      </c>
      <c r="D15" s="9" t="s">
        <v>50</v>
      </c>
      <c r="E15" s="9" t="s">
        <v>106</v>
      </c>
      <c r="F15" s="9" t="s">
        <v>42</v>
      </c>
      <c r="G15" s="9" t="s">
        <v>83</v>
      </c>
      <c r="H15" s="9" t="s">
        <v>79</v>
      </c>
      <c r="I15" s="9" t="s">
        <v>107</v>
      </c>
      <c r="J15" s="9"/>
      <c r="K15" s="9" t="s">
        <v>42</v>
      </c>
      <c r="L15" s="9" t="s">
        <v>108</v>
      </c>
      <c r="M15" s="9" t="s">
        <v>44</v>
      </c>
      <c r="N15" s="9" t="s">
        <v>109</v>
      </c>
      <c r="O15" s="9" t="n">
        <f aca="false">IF(F15=K15,1,0)</f>
        <v>1</v>
      </c>
      <c r="P15" s="9" t="n">
        <f aca="false">IF(OR(ISNUMBER(SEARCH("|"&amp;G15&amp;"|",L15)),AND(G15="none",OR(L15="|none|",L15=""))),1,0)</f>
        <v>0</v>
      </c>
      <c r="Q15" s="9" t="n">
        <f aca="false">IF(H15=M15,1,0)</f>
        <v>0</v>
      </c>
      <c r="R15" s="9" t="n">
        <f aca="false">IF(OR(ISNUMBER(SEARCH("|"&amp;I15&amp;"|",N15)),AND(I15="none",OR(N15="|none|",N15=""))),1,0)</f>
        <v>1</v>
      </c>
      <c r="S15" s="9" t="s">
        <v>48</v>
      </c>
    </row>
    <row r="16" customFormat="false" ht="35.05" hidden="false" customHeight="false" outlineLevel="0" collapsed="false">
      <c r="A16" s="9" t="s">
        <v>110</v>
      </c>
      <c r="B16" s="9" t="s">
        <v>53</v>
      </c>
      <c r="C16" s="9" t="s">
        <v>105</v>
      </c>
      <c r="D16" s="9" t="s">
        <v>94</v>
      </c>
      <c r="E16" s="9" t="s">
        <v>111</v>
      </c>
      <c r="F16" s="9" t="s">
        <v>46</v>
      </c>
      <c r="G16" s="9" t="s">
        <v>44</v>
      </c>
      <c r="H16" s="9" t="s">
        <v>44</v>
      </c>
      <c r="I16" s="9" t="s">
        <v>44</v>
      </c>
      <c r="J16" s="9"/>
      <c r="K16" s="9" t="s">
        <v>42</v>
      </c>
      <c r="L16" s="9" t="s">
        <v>47</v>
      </c>
      <c r="M16" s="9" t="s">
        <v>44</v>
      </c>
      <c r="N16" s="9" t="s">
        <v>112</v>
      </c>
      <c r="O16" s="9" t="n">
        <f aca="false">IF(F16=K16,1,0)</f>
        <v>0</v>
      </c>
      <c r="P16" s="9" t="n">
        <f aca="false">IF(OR(ISNUMBER(SEARCH("|"&amp;G16&amp;"|",L16)),AND(G16="none",OR(L16="|none|",L16=""))),1,0)</f>
        <v>1</v>
      </c>
      <c r="Q16" s="9" t="n">
        <f aca="false">IF(H16=M16,1,0)</f>
        <v>1</v>
      </c>
      <c r="R16" s="9" t="n">
        <f aca="false">IF(OR(ISNUMBER(SEARCH("|"&amp;I16&amp;"|",N16)),AND(I16="none",OR(N16="|none|",N16=""))),1,0)</f>
        <v>0</v>
      </c>
      <c r="S16" s="9" t="s">
        <v>48</v>
      </c>
    </row>
    <row r="17" customFormat="false" ht="57.45" hidden="false" customHeight="false" outlineLevel="0" collapsed="false">
      <c r="A17" s="9" t="s">
        <v>113</v>
      </c>
      <c r="B17" s="9" t="s">
        <v>53</v>
      </c>
      <c r="C17" s="9" t="s">
        <v>114</v>
      </c>
      <c r="D17" s="9" t="s">
        <v>54</v>
      </c>
      <c r="E17" s="9" t="s">
        <v>115</v>
      </c>
      <c r="F17" s="9" t="s">
        <v>46</v>
      </c>
      <c r="G17" s="9" t="s">
        <v>44</v>
      </c>
      <c r="H17" s="9" t="s">
        <v>44</v>
      </c>
      <c r="I17" s="9" t="s">
        <v>44</v>
      </c>
      <c r="J17" s="9"/>
      <c r="K17" s="9" t="s">
        <v>42</v>
      </c>
      <c r="L17" s="9" t="s">
        <v>47</v>
      </c>
      <c r="M17" s="9" t="s">
        <v>44</v>
      </c>
      <c r="N17" s="9" t="s">
        <v>116</v>
      </c>
      <c r="O17" s="9" t="n">
        <f aca="false">IF(F17=K17,1,0)</f>
        <v>0</v>
      </c>
      <c r="P17" s="9" t="n">
        <f aca="false">IF(OR(ISNUMBER(SEARCH("|"&amp;G17&amp;"|",L17)),AND(G17="none",OR(L17="|none|",L17=""))),1,0)</f>
        <v>1</v>
      </c>
      <c r="Q17" s="9" t="n">
        <f aca="false">IF(H17=M17,1,0)</f>
        <v>1</v>
      </c>
      <c r="R17" s="9" t="n">
        <f aca="false">IF(OR(ISNUMBER(SEARCH("|"&amp;I17&amp;"|",N17)),AND(I17="none",OR(N17="|none|",N17=""))),1,0)</f>
        <v>0</v>
      </c>
      <c r="S17" s="9" t="s">
        <v>48</v>
      </c>
    </row>
    <row r="18" customFormat="false" ht="57.45" hidden="false" customHeight="false" outlineLevel="0" collapsed="false">
      <c r="A18" s="9" t="s">
        <v>117</v>
      </c>
      <c r="B18" s="9" t="s">
        <v>53</v>
      </c>
      <c r="C18" s="9" t="s">
        <v>114</v>
      </c>
      <c r="D18" s="9" t="s">
        <v>50</v>
      </c>
      <c r="E18" s="9" t="s">
        <v>118</v>
      </c>
      <c r="F18" s="9" t="s">
        <v>42</v>
      </c>
      <c r="G18" s="9" t="s">
        <v>119</v>
      </c>
      <c r="H18" s="9" t="s">
        <v>44</v>
      </c>
      <c r="I18" s="9" t="s">
        <v>45</v>
      </c>
      <c r="J18" s="9"/>
      <c r="K18" s="9" t="s">
        <v>42</v>
      </c>
      <c r="L18" s="9" t="s">
        <v>47</v>
      </c>
      <c r="M18" s="9" t="s">
        <v>44</v>
      </c>
      <c r="N18" s="9" t="s">
        <v>120</v>
      </c>
      <c r="O18" s="9" t="n">
        <f aca="false">IF(F18=K18,1,0)</f>
        <v>1</v>
      </c>
      <c r="P18" s="9" t="n">
        <f aca="false">IF(OR(ISNUMBER(SEARCH("|"&amp;G18&amp;"|",L18)),AND(G18="none",OR(L18="|none|",L18=""))),1,0)</f>
        <v>0</v>
      </c>
      <c r="Q18" s="9" t="n">
        <f aca="false">IF(H18=M18,1,0)</f>
        <v>1</v>
      </c>
      <c r="R18" s="9" t="n">
        <f aca="false">IF(OR(ISNUMBER(SEARCH("|"&amp;I18&amp;"|",N18)),AND(I18="none",OR(N18="|none|",N18=""))),1,0)</f>
        <v>1</v>
      </c>
      <c r="S18" s="9" t="s">
        <v>48</v>
      </c>
    </row>
    <row r="19" customFormat="false" ht="35.05" hidden="false" customHeight="false" outlineLevel="0" collapsed="false">
      <c r="A19" s="9" t="s">
        <v>121</v>
      </c>
      <c r="B19" s="9" t="s">
        <v>53</v>
      </c>
      <c r="C19" s="9" t="s">
        <v>122</v>
      </c>
      <c r="D19" s="9" t="s">
        <v>54</v>
      </c>
      <c r="E19" s="9" t="s">
        <v>123</v>
      </c>
      <c r="F19" s="9" t="s">
        <v>46</v>
      </c>
      <c r="G19" s="9" t="s">
        <v>44</v>
      </c>
      <c r="H19" s="9" t="s">
        <v>44</v>
      </c>
      <c r="I19" s="9" t="s">
        <v>44</v>
      </c>
      <c r="J19" s="9"/>
      <c r="K19" s="9" t="s">
        <v>42</v>
      </c>
      <c r="L19" s="9" t="s">
        <v>47</v>
      </c>
      <c r="M19" s="9" t="s">
        <v>44</v>
      </c>
      <c r="N19" s="9" t="s">
        <v>124</v>
      </c>
      <c r="O19" s="9" t="n">
        <f aca="false">IF(F19=K19,1,0)</f>
        <v>0</v>
      </c>
      <c r="P19" s="9" t="n">
        <f aca="false">IF(OR(ISNUMBER(SEARCH("|"&amp;G19&amp;"|",L19)),AND(G19="none",OR(L19="|none|",L19=""))),1,0)</f>
        <v>1</v>
      </c>
      <c r="Q19" s="9" t="n">
        <f aca="false">IF(H19=M19,1,0)</f>
        <v>1</v>
      </c>
      <c r="R19" s="9" t="n">
        <f aca="false">IF(OR(ISNUMBER(SEARCH("|"&amp;I19&amp;"|",N19)),AND(I19="none",OR(N19="|none|",N19=""))),1,0)</f>
        <v>0</v>
      </c>
      <c r="S19" s="9" t="s">
        <v>48</v>
      </c>
    </row>
    <row r="20" customFormat="false" ht="79.85" hidden="false" customHeight="false" outlineLevel="0" collapsed="false">
      <c r="A20" s="9" t="s">
        <v>125</v>
      </c>
      <c r="B20" s="9" t="s">
        <v>53</v>
      </c>
      <c r="C20" s="9" t="s">
        <v>122</v>
      </c>
      <c r="D20" s="9" t="s">
        <v>50</v>
      </c>
      <c r="E20" s="9" t="s">
        <v>126</v>
      </c>
      <c r="F20" s="9" t="s">
        <v>42</v>
      </c>
      <c r="G20" s="9" t="s">
        <v>83</v>
      </c>
      <c r="H20" s="9" t="s">
        <v>79</v>
      </c>
      <c r="I20" s="9" t="s">
        <v>44</v>
      </c>
      <c r="J20" s="9"/>
      <c r="K20" s="9" t="s">
        <v>42</v>
      </c>
      <c r="L20" s="9" t="s">
        <v>102</v>
      </c>
      <c r="M20" s="9" t="s">
        <v>44</v>
      </c>
      <c r="N20" s="9" t="s">
        <v>127</v>
      </c>
      <c r="O20" s="9" t="n">
        <f aca="false">IF(F20=K20,1,0)</f>
        <v>1</v>
      </c>
      <c r="P20" s="9" t="n">
        <f aca="false">IF(OR(ISNUMBER(SEARCH("|"&amp;G20&amp;"|",L20)),AND(G20="none",OR(L20="|none|",L20=""))),1,0)</f>
        <v>0</v>
      </c>
      <c r="Q20" s="9" t="n">
        <f aca="false">IF(H20=M20,1,0)</f>
        <v>0</v>
      </c>
      <c r="R20" s="9" t="n">
        <f aca="false">IF(OR(ISNUMBER(SEARCH("|"&amp;I20&amp;"|",N20)),AND(I20="none",OR(N20="|none|",N20=""))),1,0)</f>
        <v>0</v>
      </c>
      <c r="S20" s="9" t="s">
        <v>48</v>
      </c>
    </row>
    <row r="21" customFormat="false" ht="46.25" hidden="false" customHeight="false" outlineLevel="0" collapsed="false">
      <c r="A21" s="9" t="s">
        <v>128</v>
      </c>
      <c r="B21" s="9" t="s">
        <v>53</v>
      </c>
      <c r="C21" s="9" t="s">
        <v>129</v>
      </c>
      <c r="D21" s="9" t="s">
        <v>50</v>
      </c>
      <c r="E21" s="9" t="s">
        <v>130</v>
      </c>
      <c r="F21" s="9" t="s">
        <v>42</v>
      </c>
      <c r="G21" s="9" t="s">
        <v>119</v>
      </c>
      <c r="H21" s="9" t="s">
        <v>44</v>
      </c>
      <c r="I21" s="9" t="s">
        <v>44</v>
      </c>
      <c r="J21" s="9"/>
      <c r="K21" s="9" t="s">
        <v>42</v>
      </c>
      <c r="L21" s="9" t="s">
        <v>131</v>
      </c>
      <c r="M21" s="9" t="s">
        <v>44</v>
      </c>
      <c r="N21" s="9" t="s">
        <v>47</v>
      </c>
      <c r="O21" s="9" t="n">
        <f aca="false">IF(F21=K21,1,0)</f>
        <v>1</v>
      </c>
      <c r="P21" s="9" t="n">
        <f aca="false">IF(OR(ISNUMBER(SEARCH("|"&amp;G21&amp;"|",L21)),AND(G21="none",OR(L21="|none|",L21=""))),1,0)</f>
        <v>1</v>
      </c>
      <c r="Q21" s="9" t="n">
        <f aca="false">IF(H21=M21,1,0)</f>
        <v>1</v>
      </c>
      <c r="R21" s="9" t="n">
        <f aca="false">IF(OR(ISNUMBER(SEARCH("|"&amp;I21&amp;"|",N21)),AND(I21="none",OR(N21="|none|",N21=""))),1,0)</f>
        <v>1</v>
      </c>
      <c r="S21" s="9" t="s">
        <v>48</v>
      </c>
    </row>
    <row r="22" customFormat="false" ht="79.85" hidden="false" customHeight="false" outlineLevel="0" collapsed="false">
      <c r="A22" s="9" t="s">
        <v>132</v>
      </c>
      <c r="B22" s="9" t="s">
        <v>53</v>
      </c>
      <c r="C22" s="9" t="s">
        <v>129</v>
      </c>
      <c r="D22" s="9" t="s">
        <v>40</v>
      </c>
      <c r="E22" s="9" t="s">
        <v>133</v>
      </c>
      <c r="F22" s="9" t="s">
        <v>42</v>
      </c>
      <c r="G22" s="9" t="s">
        <v>119</v>
      </c>
      <c r="H22" s="9" t="s">
        <v>44</v>
      </c>
      <c r="I22" s="9" t="s">
        <v>44</v>
      </c>
      <c r="J22" s="9"/>
      <c r="K22" s="9" t="s">
        <v>42</v>
      </c>
      <c r="L22" s="9" t="s">
        <v>131</v>
      </c>
      <c r="M22" s="9" t="s">
        <v>44</v>
      </c>
      <c r="N22" s="9" t="s">
        <v>134</v>
      </c>
      <c r="O22" s="9" t="n">
        <f aca="false">IF(F22=K22,1,0)</f>
        <v>1</v>
      </c>
      <c r="P22" s="9" t="n">
        <f aca="false">IF(OR(ISNUMBER(SEARCH("|"&amp;G22&amp;"|",L22)),AND(G22="none",OR(L22="|none|",L22=""))),1,0)</f>
        <v>1</v>
      </c>
      <c r="Q22" s="9" t="n">
        <f aca="false">IF(H22=M22,1,0)</f>
        <v>1</v>
      </c>
      <c r="R22" s="9" t="n">
        <f aca="false">IF(OR(ISNUMBER(SEARCH("|"&amp;I22&amp;"|",N22)),AND(I22="none",OR(N22="|none|",N22=""))),1,0)</f>
        <v>0</v>
      </c>
      <c r="S22" s="9" t="s">
        <v>48</v>
      </c>
    </row>
    <row r="23" customFormat="false" ht="35.05" hidden="false" customHeight="false" outlineLevel="0" collapsed="false">
      <c r="A23" s="9" t="s">
        <v>135</v>
      </c>
      <c r="B23" s="9" t="s">
        <v>53</v>
      </c>
      <c r="C23" s="9" t="s">
        <v>136</v>
      </c>
      <c r="D23" s="9" t="s">
        <v>137</v>
      </c>
      <c r="E23" s="9" t="s">
        <v>138</v>
      </c>
      <c r="F23" s="9" t="s">
        <v>46</v>
      </c>
      <c r="G23" s="9" t="s">
        <v>44</v>
      </c>
      <c r="H23" s="9" t="s">
        <v>44</v>
      </c>
      <c r="I23" s="9" t="s">
        <v>44</v>
      </c>
      <c r="J23" s="9"/>
      <c r="K23" s="9" t="s">
        <v>42</v>
      </c>
      <c r="L23" s="9" t="s">
        <v>139</v>
      </c>
      <c r="M23" s="9" t="s">
        <v>44</v>
      </c>
      <c r="N23" s="9" t="s">
        <v>116</v>
      </c>
      <c r="O23" s="9" t="n">
        <f aca="false">IF(F23=K23,1,0)</f>
        <v>0</v>
      </c>
      <c r="P23" s="9" t="n">
        <f aca="false">IF(OR(ISNUMBER(SEARCH("|"&amp;G23&amp;"|",L23)),AND(G23="none",OR(L23="|none|",L23=""))),1,0)</f>
        <v>0</v>
      </c>
      <c r="Q23" s="9" t="n">
        <f aca="false">IF(H23=M23,1,0)</f>
        <v>1</v>
      </c>
      <c r="R23" s="9" t="n">
        <f aca="false">IF(OR(ISNUMBER(SEARCH("|"&amp;I23&amp;"|",N23)),AND(I23="none",OR(N23="|none|",N23=""))),1,0)</f>
        <v>0</v>
      </c>
      <c r="S23" s="9" t="s">
        <v>48</v>
      </c>
    </row>
    <row r="24" customFormat="false" ht="23.85" hidden="false" customHeight="false" outlineLevel="0" collapsed="false">
      <c r="A24" s="9" t="s">
        <v>140</v>
      </c>
      <c r="B24" s="9" t="s">
        <v>53</v>
      </c>
      <c r="C24" s="9" t="s">
        <v>136</v>
      </c>
      <c r="D24" s="9" t="s">
        <v>137</v>
      </c>
      <c r="E24" s="9" t="s">
        <v>141</v>
      </c>
      <c r="F24" s="9" t="s">
        <v>46</v>
      </c>
      <c r="G24" s="9" t="s">
        <v>44</v>
      </c>
      <c r="H24" s="9" t="s">
        <v>44</v>
      </c>
      <c r="I24" s="9" t="s">
        <v>44</v>
      </c>
      <c r="J24" s="9"/>
      <c r="K24" s="9" t="s">
        <v>42</v>
      </c>
      <c r="L24" s="9" t="s">
        <v>47</v>
      </c>
      <c r="M24" s="9" t="s">
        <v>44</v>
      </c>
      <c r="N24" s="9" t="s">
        <v>47</v>
      </c>
      <c r="O24" s="9" t="n">
        <f aca="false">IF(F24=K24,1,0)</f>
        <v>0</v>
      </c>
      <c r="P24" s="9" t="n">
        <f aca="false">IF(OR(ISNUMBER(SEARCH("|"&amp;G24&amp;"|",L24)),AND(G24="none",OR(L24="|none|",L24=""))),1,0)</f>
        <v>1</v>
      </c>
      <c r="Q24" s="9" t="n">
        <f aca="false">IF(H24=M24,1,0)</f>
        <v>1</v>
      </c>
      <c r="R24" s="9" t="n">
        <f aca="false">IF(OR(ISNUMBER(SEARCH("|"&amp;I24&amp;"|",N24)),AND(I24="none",OR(N24="|none|",N24=""))),1,0)</f>
        <v>1</v>
      </c>
      <c r="S24" s="9" t="s">
        <v>48</v>
      </c>
    </row>
    <row r="25" customFormat="false" ht="113.4" hidden="false" customHeight="false" outlineLevel="0" collapsed="false">
      <c r="A25" s="9" t="s">
        <v>142</v>
      </c>
      <c r="B25" s="9" t="s">
        <v>53</v>
      </c>
      <c r="C25" s="9" t="s">
        <v>143</v>
      </c>
      <c r="D25" s="9" t="s">
        <v>94</v>
      </c>
      <c r="E25" s="9" t="s">
        <v>144</v>
      </c>
      <c r="F25" s="9" t="s">
        <v>42</v>
      </c>
      <c r="G25" s="9" t="s">
        <v>119</v>
      </c>
      <c r="H25" s="9" t="s">
        <v>44</v>
      </c>
      <c r="I25" s="9" t="s">
        <v>44</v>
      </c>
      <c r="J25" s="9"/>
      <c r="K25" s="9" t="s">
        <v>42</v>
      </c>
      <c r="L25" s="9" t="s">
        <v>145</v>
      </c>
      <c r="M25" s="9" t="s">
        <v>44</v>
      </c>
      <c r="N25" s="9" t="s">
        <v>47</v>
      </c>
      <c r="O25" s="9" t="n">
        <f aca="false">IF(F25=K25,1,0)</f>
        <v>1</v>
      </c>
      <c r="P25" s="9" t="n">
        <f aca="false">IF(OR(ISNUMBER(SEARCH("|"&amp;G25&amp;"|",L25)),AND(G25="none",OR(L25="|none|",L25=""))),1,0)</f>
        <v>0</v>
      </c>
      <c r="Q25" s="9" t="n">
        <f aca="false">IF(H25=M25,1,0)</f>
        <v>1</v>
      </c>
      <c r="R25" s="9" t="n">
        <f aca="false">IF(OR(ISNUMBER(SEARCH("|"&amp;I25&amp;"|",N25)),AND(I25="none",OR(N25="|none|",N25=""))),1,0)</f>
        <v>1</v>
      </c>
      <c r="S25" s="9" t="s">
        <v>48</v>
      </c>
    </row>
    <row r="26" customFormat="false" ht="79.85" hidden="false" customHeight="false" outlineLevel="0" collapsed="false">
      <c r="A26" s="9" t="s">
        <v>146</v>
      </c>
      <c r="B26" s="9" t="s">
        <v>53</v>
      </c>
      <c r="C26" s="9" t="s">
        <v>143</v>
      </c>
      <c r="D26" s="9" t="s">
        <v>50</v>
      </c>
      <c r="E26" s="9" t="s">
        <v>147</v>
      </c>
      <c r="F26" s="9" t="s">
        <v>42</v>
      </c>
      <c r="G26" s="9" t="s">
        <v>148</v>
      </c>
      <c r="H26" s="9" t="s">
        <v>79</v>
      </c>
      <c r="I26" s="9" t="s">
        <v>149</v>
      </c>
      <c r="J26" s="9"/>
      <c r="K26" s="9" t="s">
        <v>42</v>
      </c>
      <c r="L26" s="9" t="s">
        <v>102</v>
      </c>
      <c r="M26" s="9" t="s">
        <v>44</v>
      </c>
      <c r="N26" s="9" t="s">
        <v>112</v>
      </c>
      <c r="O26" s="9" t="n">
        <f aca="false">IF(F26=K26,1,0)</f>
        <v>1</v>
      </c>
      <c r="P26" s="9" t="n">
        <f aca="false">IF(OR(ISNUMBER(SEARCH("|"&amp;G26&amp;"|",L26)),AND(G26="none",OR(L26="|none|",L26=""))),1,0)</f>
        <v>1</v>
      </c>
      <c r="Q26" s="9" t="n">
        <f aca="false">IF(H26=M26,1,0)</f>
        <v>0</v>
      </c>
      <c r="R26" s="9" t="n">
        <f aca="false">IF(OR(ISNUMBER(SEARCH("|"&amp;I26&amp;"|",N26)),AND(I26="none",OR(N26="|none|",N26=""))),1,0)</f>
        <v>0</v>
      </c>
      <c r="S26" s="9" t="s">
        <v>48</v>
      </c>
    </row>
    <row r="27" customFormat="false" ht="23.85" hidden="false" customHeight="false" outlineLevel="0" collapsed="false">
      <c r="A27" s="9" t="s">
        <v>150</v>
      </c>
      <c r="B27" s="9" t="s">
        <v>53</v>
      </c>
      <c r="C27" s="9" t="s">
        <v>151</v>
      </c>
      <c r="D27" s="9" t="s">
        <v>50</v>
      </c>
      <c r="E27" s="9" t="s">
        <v>152</v>
      </c>
      <c r="F27" s="9" t="s">
        <v>46</v>
      </c>
      <c r="G27" s="9" t="s">
        <v>44</v>
      </c>
      <c r="H27" s="9" t="s">
        <v>44</v>
      </c>
      <c r="I27" s="9" t="s">
        <v>44</v>
      </c>
      <c r="J27" s="9"/>
      <c r="K27" s="9" t="s">
        <v>42</v>
      </c>
      <c r="L27" s="9" t="s">
        <v>47</v>
      </c>
      <c r="M27" s="9" t="s">
        <v>44</v>
      </c>
      <c r="N27" s="9" t="s">
        <v>47</v>
      </c>
      <c r="O27" s="9" t="n">
        <f aca="false">IF(F27=K27,1,0)</f>
        <v>0</v>
      </c>
      <c r="P27" s="9" t="n">
        <f aca="false">IF(OR(ISNUMBER(SEARCH("|"&amp;G27&amp;"|",L27)),AND(G27="none",OR(L27="|none|",L27=""))),1,0)</f>
        <v>1</v>
      </c>
      <c r="Q27" s="9" t="n">
        <f aca="false">IF(H27=M27,1,0)</f>
        <v>1</v>
      </c>
      <c r="R27" s="9" t="n">
        <f aca="false">IF(OR(ISNUMBER(SEARCH("|"&amp;I27&amp;"|",N27)),AND(I27="none",OR(N27="|none|",N27=""))),1,0)</f>
        <v>1</v>
      </c>
      <c r="S27" s="9" t="s">
        <v>48</v>
      </c>
    </row>
    <row r="28" customFormat="false" ht="46.25" hidden="false" customHeight="false" outlineLevel="0" collapsed="false">
      <c r="A28" s="9" t="s">
        <v>153</v>
      </c>
      <c r="B28" s="9" t="s">
        <v>53</v>
      </c>
      <c r="C28" s="9" t="s">
        <v>151</v>
      </c>
      <c r="D28" s="9" t="s">
        <v>54</v>
      </c>
      <c r="E28" s="9" t="s">
        <v>154</v>
      </c>
      <c r="F28" s="9" t="s">
        <v>46</v>
      </c>
      <c r="G28" s="9" t="s">
        <v>44</v>
      </c>
      <c r="H28" s="9" t="s">
        <v>44</v>
      </c>
      <c r="I28" s="9" t="s">
        <v>44</v>
      </c>
      <c r="J28" s="9"/>
      <c r="K28" s="9" t="s">
        <v>42</v>
      </c>
      <c r="L28" s="9" t="s">
        <v>47</v>
      </c>
      <c r="M28" s="9" t="s">
        <v>44</v>
      </c>
      <c r="N28" s="9" t="s">
        <v>47</v>
      </c>
      <c r="O28" s="9" t="n">
        <f aca="false">IF(F28=K28,1,0)</f>
        <v>0</v>
      </c>
      <c r="P28" s="9" t="n">
        <f aca="false">IF(OR(ISNUMBER(SEARCH("|"&amp;G28&amp;"|",L28)),AND(G28="none",OR(L28="|none|",L28=""))),1,0)</f>
        <v>1</v>
      </c>
      <c r="Q28" s="9" t="n">
        <f aca="false">IF(H28=M28,1,0)</f>
        <v>1</v>
      </c>
      <c r="R28" s="9" t="n">
        <f aca="false">IF(OR(ISNUMBER(SEARCH("|"&amp;I28&amp;"|",N28)),AND(I28="none",OR(N28="|none|",N28=""))),1,0)</f>
        <v>1</v>
      </c>
      <c r="S28" s="9"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22"/>
    <col collapsed="false" customWidth="true" hidden="false" outlineLevel="0" max="4" min="4" style="0" width="95"/>
  </cols>
  <sheetData>
    <row r="1" customFormat="false" ht="15" hidden="false" customHeight="false" outlineLevel="0" collapsed="false">
      <c r="A1" s="8" t="s">
        <v>18</v>
      </c>
      <c r="B1" s="8" t="s">
        <v>21</v>
      </c>
      <c r="C1" s="8" t="s">
        <v>155</v>
      </c>
      <c r="D1" s="8" t="s">
        <v>156</v>
      </c>
    </row>
    <row r="2" customFormat="false" ht="23.85" hidden="false" customHeight="false" outlineLevel="0" collapsed="false">
      <c r="A2" s="9" t="s">
        <v>56</v>
      </c>
      <c r="B2" s="9" t="s">
        <v>40</v>
      </c>
      <c r="C2" s="9" t="s">
        <v>157</v>
      </c>
      <c r="D2" s="9" t="s">
        <v>158</v>
      </c>
    </row>
    <row r="3" customFormat="false" ht="23.85" hidden="false" customHeight="false" outlineLevel="0" collapsed="false">
      <c r="A3" s="9" t="s">
        <v>64</v>
      </c>
      <c r="B3" s="9" t="s">
        <v>50</v>
      </c>
      <c r="C3" s="9" t="s">
        <v>159</v>
      </c>
      <c r="D3" s="9" t="s">
        <v>160</v>
      </c>
    </row>
    <row r="4" customFormat="false" ht="23.85" hidden="false" customHeight="false" outlineLevel="0" collapsed="false">
      <c r="A4" s="9" t="s">
        <v>69</v>
      </c>
      <c r="B4" s="9" t="s">
        <v>54</v>
      </c>
      <c r="C4" s="9" t="s">
        <v>161</v>
      </c>
      <c r="D4" s="9" t="s">
        <v>162</v>
      </c>
    </row>
    <row r="5" customFormat="false" ht="23.85" hidden="false" customHeight="false" outlineLevel="0" collapsed="false">
      <c r="A5" s="9" t="s">
        <v>73</v>
      </c>
      <c r="B5" s="9" t="s">
        <v>50</v>
      </c>
      <c r="C5" s="9" t="s">
        <v>163</v>
      </c>
      <c r="D5" s="9" t="s">
        <v>164</v>
      </c>
    </row>
    <row r="6" customFormat="false" ht="23.85" hidden="false" customHeight="false" outlineLevel="0" collapsed="false">
      <c r="A6" s="9" t="s">
        <v>81</v>
      </c>
      <c r="B6" s="9" t="s">
        <v>40</v>
      </c>
      <c r="C6" s="9" t="s">
        <v>165</v>
      </c>
      <c r="D6" s="9" t="s">
        <v>166</v>
      </c>
    </row>
    <row r="7" customFormat="false" ht="23.85" hidden="false" customHeight="false" outlineLevel="0" collapsed="false">
      <c r="A7" s="9" t="s">
        <v>85</v>
      </c>
      <c r="B7" s="9" t="s">
        <v>54</v>
      </c>
      <c r="C7" s="9" t="s">
        <v>161</v>
      </c>
      <c r="D7" s="9" t="s">
        <v>167</v>
      </c>
    </row>
    <row r="8" customFormat="false" ht="23.85" hidden="false" customHeight="false" outlineLevel="0" collapsed="false">
      <c r="A8" s="9" t="s">
        <v>88</v>
      </c>
      <c r="B8" s="9" t="s">
        <v>50</v>
      </c>
      <c r="C8" s="9" t="s">
        <v>157</v>
      </c>
      <c r="D8" s="9" t="s">
        <v>168</v>
      </c>
    </row>
    <row r="9" customFormat="false" ht="15" hidden="false" customHeight="false" outlineLevel="0" collapsed="false">
      <c r="A9" s="9" t="s">
        <v>93</v>
      </c>
      <c r="B9" s="9" t="s">
        <v>94</v>
      </c>
      <c r="C9" s="9" t="s">
        <v>169</v>
      </c>
      <c r="D9" s="9" t="s">
        <v>170</v>
      </c>
    </row>
    <row r="10" customFormat="false" ht="15" hidden="false" customHeight="false" outlineLevel="0" collapsed="false">
      <c r="A10" s="9" t="s">
        <v>96</v>
      </c>
      <c r="B10" s="9" t="s">
        <v>54</v>
      </c>
      <c r="C10" s="9" t="s">
        <v>169</v>
      </c>
      <c r="D10" s="9" t="s">
        <v>171</v>
      </c>
    </row>
    <row r="11" customFormat="false" ht="23.85" hidden="false" customHeight="false" outlineLevel="0" collapsed="false">
      <c r="A11" s="9" t="s">
        <v>100</v>
      </c>
      <c r="B11" s="9" t="s">
        <v>40</v>
      </c>
      <c r="C11" s="9" t="s">
        <v>157</v>
      </c>
      <c r="D11" s="9" t="s">
        <v>172</v>
      </c>
    </row>
    <row r="12" customFormat="false" ht="23.85" hidden="false" customHeight="false" outlineLevel="0" collapsed="false">
      <c r="A12" s="9" t="s">
        <v>104</v>
      </c>
      <c r="B12" s="9" t="s">
        <v>50</v>
      </c>
      <c r="C12" s="9" t="s">
        <v>163</v>
      </c>
      <c r="D12" s="9" t="s">
        <v>173</v>
      </c>
    </row>
    <row r="13" customFormat="false" ht="15" hidden="false" customHeight="false" outlineLevel="0" collapsed="false">
      <c r="A13" s="9" t="s">
        <v>110</v>
      </c>
      <c r="B13" s="9" t="s">
        <v>94</v>
      </c>
      <c r="C13" s="9" t="s">
        <v>169</v>
      </c>
      <c r="D13" s="9" t="s">
        <v>174</v>
      </c>
    </row>
    <row r="14" customFormat="false" ht="15" hidden="false" customHeight="false" outlineLevel="0" collapsed="false">
      <c r="A14" s="9" t="s">
        <v>113</v>
      </c>
      <c r="B14" s="9" t="s">
        <v>54</v>
      </c>
      <c r="C14" s="9" t="s">
        <v>169</v>
      </c>
      <c r="D14" s="9" t="s">
        <v>175</v>
      </c>
    </row>
    <row r="15" customFormat="false" ht="15" hidden="false" customHeight="false" outlineLevel="0" collapsed="false">
      <c r="A15" s="9" t="s">
        <v>117</v>
      </c>
      <c r="B15" s="9" t="s">
        <v>50</v>
      </c>
      <c r="C15" s="9" t="s">
        <v>157</v>
      </c>
      <c r="D15" s="9" t="s">
        <v>176</v>
      </c>
    </row>
    <row r="16" customFormat="false" ht="15" hidden="false" customHeight="false" outlineLevel="0" collapsed="false">
      <c r="A16" s="9" t="s">
        <v>121</v>
      </c>
      <c r="B16" s="9" t="s">
        <v>54</v>
      </c>
      <c r="C16" s="9" t="s">
        <v>169</v>
      </c>
      <c r="D16" s="9" t="s">
        <v>177</v>
      </c>
    </row>
    <row r="17" customFormat="false" ht="35.05" hidden="false" customHeight="false" outlineLevel="0" collapsed="false">
      <c r="A17" s="9" t="s">
        <v>125</v>
      </c>
      <c r="B17" s="9" t="s">
        <v>50</v>
      </c>
      <c r="C17" s="9" t="s">
        <v>178</v>
      </c>
      <c r="D17" s="9" t="s">
        <v>179</v>
      </c>
    </row>
    <row r="18" customFormat="false" ht="15" hidden="false" customHeight="false" outlineLevel="0" collapsed="false">
      <c r="A18" s="9" t="s">
        <v>132</v>
      </c>
      <c r="B18" s="9" t="s">
        <v>40</v>
      </c>
      <c r="C18" s="9" t="s">
        <v>165</v>
      </c>
      <c r="D18" s="9" t="s">
        <v>180</v>
      </c>
    </row>
    <row r="19" customFormat="false" ht="23.85" hidden="false" customHeight="false" outlineLevel="0" collapsed="false">
      <c r="A19" s="9" t="s">
        <v>135</v>
      </c>
      <c r="B19" s="9" t="s">
        <v>137</v>
      </c>
      <c r="C19" s="9" t="s">
        <v>181</v>
      </c>
      <c r="D19" s="9" t="s">
        <v>182</v>
      </c>
    </row>
    <row r="20" customFormat="false" ht="23.85" hidden="false" customHeight="false" outlineLevel="0" collapsed="false">
      <c r="A20" s="9" t="s">
        <v>140</v>
      </c>
      <c r="B20" s="9" t="s">
        <v>137</v>
      </c>
      <c r="C20" s="9" t="s">
        <v>183</v>
      </c>
      <c r="D20" s="9" t="s">
        <v>184</v>
      </c>
    </row>
    <row r="21" customFormat="false" ht="23.85" hidden="false" customHeight="false" outlineLevel="0" collapsed="false">
      <c r="A21" s="9" t="s">
        <v>142</v>
      </c>
      <c r="B21" s="9" t="s">
        <v>94</v>
      </c>
      <c r="C21" s="9" t="s">
        <v>157</v>
      </c>
      <c r="D21" s="9" t="s">
        <v>185</v>
      </c>
    </row>
    <row r="22" customFormat="false" ht="23.85" hidden="false" customHeight="false" outlineLevel="0" collapsed="false">
      <c r="A22" s="9" t="s">
        <v>146</v>
      </c>
      <c r="B22" s="9" t="s">
        <v>50</v>
      </c>
      <c r="C22" s="9" t="s">
        <v>186</v>
      </c>
      <c r="D22" s="9" t="s">
        <v>187</v>
      </c>
    </row>
    <row r="23" customFormat="false" ht="23.85" hidden="false" customHeight="false" outlineLevel="0" collapsed="false">
      <c r="A23" s="9" t="s">
        <v>150</v>
      </c>
      <c r="B23" s="9" t="s">
        <v>50</v>
      </c>
      <c r="C23" s="9" t="s">
        <v>183</v>
      </c>
      <c r="D23" s="9" t="s">
        <v>188</v>
      </c>
    </row>
    <row r="24" customFormat="false" ht="23.85" hidden="false" customHeight="false" outlineLevel="0" collapsed="false">
      <c r="A24" s="9" t="s">
        <v>153</v>
      </c>
      <c r="B24" s="9" t="s">
        <v>54</v>
      </c>
      <c r="C24" s="9" t="s">
        <v>183</v>
      </c>
      <c r="D24" s="9" t="s">
        <v>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18"/>
    <col collapsed="false" customWidth="true" hidden="false" outlineLevel="0" max="4" min="4" style="0" width="14"/>
    <col collapsed="false" customWidth="true" hidden="false" outlineLevel="0" max="5" min="5" style="0" width="70"/>
  </cols>
  <sheetData>
    <row r="1" customFormat="false" ht="26.85" hidden="false" customHeight="false" outlineLevel="0" collapsed="false">
      <c r="A1" s="8" t="s">
        <v>190</v>
      </c>
      <c r="B1" s="8" t="s">
        <v>191</v>
      </c>
      <c r="C1" s="8" t="s">
        <v>192</v>
      </c>
      <c r="D1" s="8" t="s">
        <v>193</v>
      </c>
      <c r="E1" s="8" t="s">
        <v>194</v>
      </c>
    </row>
    <row r="2" customFormat="false" ht="15" hidden="false" customHeight="false" outlineLevel="0" collapsed="false">
      <c r="A2" s="10" t="s">
        <v>195</v>
      </c>
      <c r="B2" s="10" t="n">
        <v>3336</v>
      </c>
      <c r="C2" s="10" t="n">
        <v>963</v>
      </c>
      <c r="D2" s="11" t="n">
        <f aca="false">C2/B2</f>
        <v>0.288669064748201</v>
      </c>
      <c r="E2" s="10" t="s">
        <v>196</v>
      </c>
    </row>
    <row r="3" customFormat="false" ht="15" hidden="false" customHeight="false" outlineLevel="0" collapsed="false">
      <c r="A3" s="10" t="s">
        <v>197</v>
      </c>
      <c r="B3" s="10" t="n">
        <v>3011</v>
      </c>
      <c r="C3" s="10" t="n">
        <v>869</v>
      </c>
      <c r="D3" s="11" t="n">
        <f aca="false">C3/B3</f>
        <v>0.288608435735636</v>
      </c>
      <c r="E3" s="10" t="s">
        <v>198</v>
      </c>
    </row>
    <row r="4" customFormat="false" ht="15" hidden="false" customHeight="false" outlineLevel="0" collapsed="false">
      <c r="A4" s="10" t="s">
        <v>199</v>
      </c>
      <c r="B4" s="10" t="n">
        <v>2689</v>
      </c>
      <c r="C4" s="10" t="n">
        <v>773</v>
      </c>
      <c r="D4" s="11" t="n">
        <f aca="false">C4/B4</f>
        <v>0.287467460022313</v>
      </c>
      <c r="E4" s="10" t="s">
        <v>200</v>
      </c>
    </row>
    <row r="5" customFormat="false" ht="15" hidden="false" customHeight="false" outlineLevel="0" collapsed="false">
      <c r="A5" s="10"/>
      <c r="B5" s="10"/>
      <c r="C5" s="10"/>
      <c r="D5" s="10"/>
      <c r="E5" s="10"/>
    </row>
    <row r="6" customFormat="false" ht="35.05" hidden="false" customHeight="false" outlineLevel="0" collapsed="false">
      <c r="A6" s="10" t="s">
        <v>201</v>
      </c>
      <c r="B6" s="10"/>
      <c r="C6" s="10"/>
      <c r="D6" s="10"/>
      <c r="E6"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2026-10-31T07:32:55Z</dcterms:created>
  <dc:creator>openpyxl</dc:creator>
  <dc:description/>
  <dc:language>en-US</dc:language>
  <cp:lastModifiedBy/>
  <dcterms:modified xsi:type="dcterms:W3CDTF">2026-10-31T07:32:55Z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